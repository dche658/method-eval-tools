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BC71B714-8F82-40FA-B60B-B8FD361015F7}" xr6:coauthVersionLast="47" xr6:coauthVersionMax="47" xr10:uidLastSave="{00000000-0000-0000-0000-000000000000}"/>
  <bookViews>
    <workbookView xWindow="13245" yWindow="1860" windowWidth="22320" windowHeight="18030" firstSheet="1" activeTab="11" xr2:uid="{00000000-000D-0000-FFFF-FFFF00000000}"/>
  </bookViews>
  <sheets>
    <sheet name="Comp 1" sheetId="1" r:id="rId1"/>
    <sheet name="Comp 2" sheetId="4" r:id="rId2"/>
    <sheet name="5x5" sheetId="9" r:id="rId3"/>
    <sheet name="20x2x2" sheetId="10" r:id="rId4"/>
    <sheet name="anova" sheetId="13" r:id="rId5"/>
    <sheet name="Level1" sheetId="12" r:id="rId6"/>
    <sheet name="Layout" sheetId="8" r:id="rId7"/>
    <sheet name="Raw" sheetId="14" r:id="rId8"/>
    <sheet name="10x3x2" sheetId="15" r:id="rId9"/>
    <sheet name="Quant" sheetId="23" r:id="rId10"/>
    <sheet name="Qual" sheetId="25" r:id="rId11"/>
    <sheet name="RefInt" sheetId="26" r:id="rId12"/>
  </sheets>
  <definedNames>
    <definedName name="__ai3_dataset_1753400505_range_1070343600" localSheetId="3" hidden="1">'20x2x2'!$A$1:$D$81</definedName>
    <definedName name="__ai3_dataset_1753400505_range_127184347" localSheetId="3" hidden="1">'20x2x2'!$B$1</definedName>
    <definedName name="__ai3_dataset_1753400505_range_1651985268" localSheetId="3" hidden="1">'20x2x2'!$C$1</definedName>
    <definedName name="__ai3_dataset_1753400505_range_2022587302" localSheetId="3" hidden="1">'20x2x2'!$D$1</definedName>
    <definedName name="__ai3_dataset_1753400505_range_891189524" localSheetId="3" hidden="1">'20x2x2'!$A$1</definedName>
    <definedName name="__ai3_dataset_2008140669_range_1191307630" localSheetId="0" hidden="1">'Comp 1'!$G$2</definedName>
    <definedName name="__ai3_dataset_2008140669_range_1792243684" localSheetId="0" hidden="1">'Comp 1'!$G$2:$H$42</definedName>
    <definedName name="__ai3_dataset_2008140669_range_409789942" localSheetId="0" hidden="1">'Comp 1'!$H$2</definedName>
    <definedName name="__ai3_dataset_221696496_range_1005096418" localSheetId="1" hidden="1">'Comp 2'!$A$1:$C$41</definedName>
    <definedName name="__ai3_dataset_221696496_range_1636738237" localSheetId="1" hidden="1">'Comp 2'!$A$1</definedName>
    <definedName name="__ai3_dataset_221696496_range_1756685903" localSheetId="1" hidden="1">'Comp 2'!$C$1</definedName>
    <definedName name="__ai3_dataset_221696496_range_2006976158" localSheetId="1" hidden="1">'Comp 2'!$B$1</definedName>
    <definedName name="__ai3_mode" localSheetId="5" hidden="1">"Portrait"</definedName>
    <definedName name="__ai3_report_dataset_1213717723" localSheetId="5" hidden="1">'20x2x2'!$A$1:$C$81</definedName>
    <definedName name="__ai3_report_range_1516649634" localSheetId="5" hidden="1">Level1!$A$1</definedName>
    <definedName name="__ai3_section_effects" localSheetId="5" hidden="1">Level1!$26:$29</definedName>
    <definedName name="__ai3_section_precision_" localSheetId="5" hidden="1">Level1!$10:$29</definedName>
    <definedName name="__ai3_signoff" localSheetId="5" hidden="1">Level1!$31:$31</definedName>
    <definedName name="_xlnm.Print_Area" localSheetId="5">Level1!$A$1:$J$29</definedName>
    <definedName name="_xlnm.Print_Titles" localSheetId="5">Level1!$1:$9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5" i="1"/>
  <c r="K15" i="1"/>
  <c r="K14" i="1"/>
  <c r="Q47" i="1"/>
  <c r="R45" i="1"/>
  <c r="S45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3" i="1"/>
  <c r="Q45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R3" i="1"/>
  <c r="Q3" i="1"/>
  <c r="L11" i="1"/>
  <c r="L10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3" i="1"/>
  <c r="K3" i="1" a="1"/>
  <c r="K3" i="1" s="1"/>
  <c r="G516" i="25"/>
  <c r="G512" i="25"/>
  <c r="G513" i="25" s="1"/>
  <c r="D512" i="25"/>
  <c r="G508" i="25"/>
  <c r="G509" i="25" s="1"/>
  <c r="F508" i="25"/>
  <c r="F509" i="25" s="1"/>
  <c r="E508" i="25"/>
  <c r="E509" i="25" s="1"/>
  <c r="G507" i="25"/>
  <c r="X506" i="25" s="1"/>
  <c r="L506" i="25" s="1"/>
  <c r="T506" i="25" s="1"/>
  <c r="F507" i="25"/>
  <c r="W499" i="25" s="1"/>
  <c r="K499" i="25" s="1"/>
  <c r="S499" i="25" s="1"/>
  <c r="E507" i="25"/>
  <c r="D514" i="25" s="1"/>
  <c r="X505" i="25"/>
  <c r="L505" i="25" s="1"/>
  <c r="T505" i="25" s="1"/>
  <c r="W505" i="25"/>
  <c r="K505" i="25" s="1"/>
  <c r="S505" i="25" s="1"/>
  <c r="V505" i="25"/>
  <c r="J505" i="25" s="1"/>
  <c r="R505" i="25" s="1"/>
  <c r="W504" i="25"/>
  <c r="S504" i="25"/>
  <c r="K504" i="25"/>
  <c r="X503" i="25"/>
  <c r="L503" i="25" s="1"/>
  <c r="T503" i="25" s="1"/>
  <c r="W503" i="25"/>
  <c r="K503" i="25" s="1"/>
  <c r="S503" i="25" s="1"/>
  <c r="V503" i="25"/>
  <c r="J503" i="25"/>
  <c r="R503" i="25" s="1"/>
  <c r="V502" i="25"/>
  <c r="J502" i="25"/>
  <c r="R502" i="25" s="1"/>
  <c r="X501" i="25"/>
  <c r="L501" i="25" s="1"/>
  <c r="T501" i="25" s="1"/>
  <c r="W501" i="25"/>
  <c r="K501" i="25" s="1"/>
  <c r="S501" i="25" s="1"/>
  <c r="V501" i="25"/>
  <c r="J501" i="25" s="1"/>
  <c r="R501" i="25" s="1"/>
  <c r="X500" i="25"/>
  <c r="W500" i="25"/>
  <c r="K500" i="25" s="1"/>
  <c r="S500" i="25" s="1"/>
  <c r="L500" i="25"/>
  <c r="T500" i="25" s="1"/>
  <c r="X499" i="25"/>
  <c r="L499" i="25" s="1"/>
  <c r="T499" i="25" s="1"/>
  <c r="W498" i="25"/>
  <c r="K498" i="25" s="1"/>
  <c r="S498" i="25" s="1"/>
  <c r="V498" i="25"/>
  <c r="J498" i="25" s="1"/>
  <c r="R498" i="25" s="1"/>
  <c r="G487" i="25"/>
  <c r="D485" i="25" s="1"/>
  <c r="E485" i="25"/>
  <c r="D483" i="25"/>
  <c r="G483" i="25" s="1"/>
  <c r="G484" i="25" s="1"/>
  <c r="G482" i="25"/>
  <c r="F482" i="25"/>
  <c r="E482" i="25"/>
  <c r="D484" i="25" s="1"/>
  <c r="G481" i="25"/>
  <c r="F481" i="25"/>
  <c r="E481" i="25"/>
  <c r="X477" i="25"/>
  <c r="W477" i="25"/>
  <c r="V477" i="25"/>
  <c r="X476" i="25"/>
  <c r="W476" i="25"/>
  <c r="V476" i="25"/>
  <c r="X475" i="25"/>
  <c r="W475" i="25"/>
  <c r="V475" i="25"/>
  <c r="X474" i="25"/>
  <c r="W474" i="25"/>
  <c r="V474" i="25"/>
  <c r="X473" i="25"/>
  <c r="W473" i="25"/>
  <c r="V473" i="25"/>
  <c r="X472" i="25"/>
  <c r="W472" i="25"/>
  <c r="V472" i="25"/>
  <c r="X471" i="25"/>
  <c r="W471" i="25"/>
  <c r="V471" i="25"/>
  <c r="X470" i="25"/>
  <c r="W470" i="25"/>
  <c r="V470" i="25"/>
  <c r="X469" i="25"/>
  <c r="W469" i="25"/>
  <c r="V469" i="25"/>
  <c r="U478" i="25" s="1"/>
  <c r="N461" i="25"/>
  <c r="G461" i="25"/>
  <c r="D460" i="25" s="1"/>
  <c r="N460" i="25"/>
  <c r="E460" i="25"/>
  <c r="N459" i="25"/>
  <c r="D459" i="25"/>
  <c r="N458" i="25"/>
  <c r="D458" i="25"/>
  <c r="N457" i="25"/>
  <c r="D457" i="25"/>
  <c r="G457" i="25" s="1"/>
  <c r="G458" i="25" s="1"/>
  <c r="N456" i="25"/>
  <c r="N455" i="25"/>
  <c r="N454" i="25"/>
  <c r="X453" i="25"/>
  <c r="W453" i="25"/>
  <c r="V453" i="25"/>
  <c r="N453" i="25"/>
  <c r="X452" i="25"/>
  <c r="W452" i="25"/>
  <c r="V452" i="25"/>
  <c r="N452" i="25"/>
  <c r="X451" i="25"/>
  <c r="W451" i="25"/>
  <c r="V451" i="25"/>
  <c r="N451" i="25"/>
  <c r="X450" i="25"/>
  <c r="W450" i="25"/>
  <c r="V450" i="25"/>
  <c r="N450" i="25"/>
  <c r="X449" i="25"/>
  <c r="W449" i="25"/>
  <c r="V449" i="25"/>
  <c r="N449" i="25"/>
  <c r="X448" i="25"/>
  <c r="W448" i="25"/>
  <c r="V448" i="25"/>
  <c r="N448" i="25"/>
  <c r="X447" i="25"/>
  <c r="W447" i="25"/>
  <c r="V447" i="25"/>
  <c r="N447" i="25"/>
  <c r="X446" i="25"/>
  <c r="W446" i="25"/>
  <c r="V446" i="25"/>
  <c r="N446" i="25"/>
  <c r="X445" i="25"/>
  <c r="U454" i="25" s="1"/>
  <c r="W445" i="25"/>
  <c r="V445" i="25"/>
  <c r="J423" i="25"/>
  <c r="E423" i="25"/>
  <c r="J422" i="25"/>
  <c r="E422" i="25"/>
  <c r="J421" i="25"/>
  <c r="E421" i="25"/>
  <c r="J420" i="25"/>
  <c r="E420" i="25"/>
  <c r="J419" i="25"/>
  <c r="E419" i="25"/>
  <c r="J418" i="25"/>
  <c r="E418" i="25"/>
  <c r="J417" i="25"/>
  <c r="E417" i="25"/>
  <c r="J416" i="25"/>
  <c r="E416" i="25"/>
  <c r="J415" i="25"/>
  <c r="E415" i="25"/>
  <c r="J414" i="25"/>
  <c r="E414" i="25"/>
  <c r="J413" i="25"/>
  <c r="E413" i="25"/>
  <c r="J412" i="25"/>
  <c r="E412" i="25"/>
  <c r="J411" i="25"/>
  <c r="E411" i="25"/>
  <c r="J410" i="25"/>
  <c r="E410" i="25"/>
  <c r="J409" i="25"/>
  <c r="E409" i="25"/>
  <c r="J408" i="25"/>
  <c r="E408" i="25"/>
  <c r="J407" i="25"/>
  <c r="E407" i="25"/>
  <c r="J406" i="25"/>
  <c r="E406" i="25"/>
  <c r="J405" i="25"/>
  <c r="E405" i="25"/>
  <c r="J404" i="25"/>
  <c r="E404" i="25"/>
  <c r="J403" i="25"/>
  <c r="E403" i="25"/>
  <c r="J402" i="25"/>
  <c r="E402" i="25"/>
  <c r="J401" i="25"/>
  <c r="E401" i="25"/>
  <c r="J400" i="25"/>
  <c r="E400" i="25"/>
  <c r="J399" i="25"/>
  <c r="E399" i="25"/>
  <c r="J398" i="25"/>
  <c r="E398" i="25"/>
  <c r="J397" i="25"/>
  <c r="E397" i="25"/>
  <c r="J396" i="25"/>
  <c r="E396" i="25"/>
  <c r="J395" i="25"/>
  <c r="E395" i="25"/>
  <c r="J394" i="25"/>
  <c r="E394" i="25"/>
  <c r="J393" i="25"/>
  <c r="E393" i="25"/>
  <c r="J392" i="25"/>
  <c r="E392" i="25"/>
  <c r="J391" i="25"/>
  <c r="E391" i="25"/>
  <c r="J390" i="25"/>
  <c r="E390" i="25"/>
  <c r="J389" i="25"/>
  <c r="E389" i="25"/>
  <c r="J388" i="25"/>
  <c r="E388" i="25"/>
  <c r="J387" i="25"/>
  <c r="E387" i="25"/>
  <c r="J386" i="25"/>
  <c r="E386" i="25"/>
  <c r="J385" i="25"/>
  <c r="E385" i="25"/>
  <c r="J384" i="25"/>
  <c r="I428" i="25" s="1"/>
  <c r="E384" i="25"/>
  <c r="D427" i="25" s="1"/>
  <c r="G357" i="25"/>
  <c r="G358" i="25"/>
  <c r="G349" i="25"/>
  <c r="G350" i="25" s="1"/>
  <c r="G351" i="25" s="1"/>
  <c r="F349" i="25"/>
  <c r="F350" i="25" s="1"/>
  <c r="F351" i="25" s="1"/>
  <c r="E349" i="25"/>
  <c r="E350" i="25" s="1"/>
  <c r="E351" i="25" s="1"/>
  <c r="G348" i="25"/>
  <c r="F348" i="25"/>
  <c r="E348" i="25"/>
  <c r="D348" i="25"/>
  <c r="D349" i="25" s="1"/>
  <c r="D350" i="25" s="1"/>
  <c r="D351" i="25" s="1"/>
  <c r="G338" i="25"/>
  <c r="F338" i="25"/>
  <c r="E338" i="25"/>
  <c r="D338" i="25"/>
  <c r="G337" i="25"/>
  <c r="E337" i="25"/>
  <c r="G333" i="25"/>
  <c r="F333" i="25"/>
  <c r="E333" i="25"/>
  <c r="D333" i="25"/>
  <c r="G332" i="25"/>
  <c r="F332" i="25"/>
  <c r="E332" i="25"/>
  <c r="D332" i="25"/>
  <c r="G331" i="25"/>
  <c r="F331" i="25"/>
  <c r="E331" i="25"/>
  <c r="D331" i="25"/>
  <c r="G329" i="25"/>
  <c r="F329" i="25"/>
  <c r="E329" i="25"/>
  <c r="D329" i="25"/>
  <c r="G328" i="25"/>
  <c r="G343" i="25" s="1"/>
  <c r="F328" i="25"/>
  <c r="F343" i="25" s="1"/>
  <c r="E328" i="25"/>
  <c r="E343" i="25" s="1"/>
  <c r="D328" i="25"/>
  <c r="D343" i="25" s="1"/>
  <c r="G327" i="25"/>
  <c r="G342" i="25" s="1"/>
  <c r="F327" i="25"/>
  <c r="F337" i="25" s="1"/>
  <c r="E327" i="25"/>
  <c r="E342" i="25" s="1"/>
  <c r="D327" i="25"/>
  <c r="D337" i="25" s="1"/>
  <c r="Y259" i="25"/>
  <c r="X259" i="25"/>
  <c r="W259" i="25"/>
  <c r="U259" i="25"/>
  <c r="T259" i="25"/>
  <c r="V259" i="25" s="1"/>
  <c r="S259" i="25"/>
  <c r="I259" i="25"/>
  <c r="G259" i="25"/>
  <c r="H259" i="25" s="1"/>
  <c r="Y258" i="25"/>
  <c r="X258" i="25"/>
  <c r="W258" i="25"/>
  <c r="T258" i="25"/>
  <c r="V258" i="25" s="1"/>
  <c r="S258" i="25"/>
  <c r="I258" i="25"/>
  <c r="G258" i="25"/>
  <c r="H258" i="25" s="1"/>
  <c r="Y257" i="25"/>
  <c r="X257" i="25"/>
  <c r="W257" i="25"/>
  <c r="T257" i="25"/>
  <c r="S257" i="25"/>
  <c r="V257" i="25" s="1"/>
  <c r="I257" i="25"/>
  <c r="G257" i="25"/>
  <c r="H257" i="25" s="1"/>
  <c r="A257" i="25"/>
  <c r="Y256" i="25"/>
  <c r="X256" i="25"/>
  <c r="W256" i="25"/>
  <c r="V256" i="25"/>
  <c r="T256" i="25"/>
  <c r="U256" i="25" s="1"/>
  <c r="S256" i="25"/>
  <c r="H256" i="25"/>
  <c r="G256" i="25"/>
  <c r="I256" i="25" s="1"/>
  <c r="Y255" i="25"/>
  <c r="X255" i="25"/>
  <c r="W255" i="25"/>
  <c r="T255" i="25"/>
  <c r="U255" i="25" s="1"/>
  <c r="S255" i="25"/>
  <c r="H255" i="25"/>
  <c r="G255" i="25"/>
  <c r="I255" i="25" s="1"/>
  <c r="A255" i="25"/>
  <c r="Y254" i="25"/>
  <c r="X254" i="25"/>
  <c r="W254" i="25"/>
  <c r="T254" i="25"/>
  <c r="V254" i="25" s="1"/>
  <c r="S254" i="25"/>
  <c r="G254" i="25"/>
  <c r="I254" i="25" s="1"/>
  <c r="A254" i="25"/>
  <c r="Y253" i="25"/>
  <c r="X253" i="25"/>
  <c r="W253" i="25"/>
  <c r="U253" i="25"/>
  <c r="T253" i="25"/>
  <c r="V253" i="25" s="1"/>
  <c r="S253" i="25"/>
  <c r="I253" i="25"/>
  <c r="H253" i="25"/>
  <c r="G253" i="25"/>
  <c r="A253" i="25"/>
  <c r="Y252" i="25"/>
  <c r="X252" i="25"/>
  <c r="W252" i="25"/>
  <c r="T252" i="25"/>
  <c r="U252" i="25" s="1"/>
  <c r="S252" i="25"/>
  <c r="I252" i="25"/>
  <c r="G252" i="25"/>
  <c r="A252" i="25"/>
  <c r="H226" i="25"/>
  <c r="H225" i="25"/>
  <c r="H224" i="25"/>
  <c r="Z220" i="25"/>
  <c r="X220" i="25" s="1"/>
  <c r="W220" i="25"/>
  <c r="S220" i="25"/>
  <c r="T220" i="25" s="1"/>
  <c r="G220" i="25"/>
  <c r="H220" i="25" s="1"/>
  <c r="Z219" i="25"/>
  <c r="X219" i="25"/>
  <c r="W219" i="25"/>
  <c r="H219" i="25" s="1"/>
  <c r="V219" i="25"/>
  <c r="U219" i="25"/>
  <c r="S219" i="25"/>
  <c r="T219" i="25" s="1"/>
  <c r="G219" i="25"/>
  <c r="Z218" i="25"/>
  <c r="X218" i="25"/>
  <c r="W218" i="25"/>
  <c r="U218" i="25"/>
  <c r="S218" i="25"/>
  <c r="T218" i="25" s="1"/>
  <c r="G218" i="25"/>
  <c r="H218" i="25" s="1"/>
  <c r="Z217" i="25"/>
  <c r="X217" i="25"/>
  <c r="W217" i="25"/>
  <c r="T217" i="25"/>
  <c r="S217" i="25"/>
  <c r="G217" i="25"/>
  <c r="V217" i="25" s="1"/>
  <c r="Z216" i="25"/>
  <c r="X216" i="25"/>
  <c r="W216" i="25"/>
  <c r="V216" i="25"/>
  <c r="U216" i="25"/>
  <c r="S216" i="25"/>
  <c r="T216" i="25" s="1"/>
  <c r="G216" i="25"/>
  <c r="H216" i="25" s="1"/>
  <c r="Z215" i="25"/>
  <c r="X215" i="25" s="1"/>
  <c r="S215" i="25"/>
  <c r="T215" i="25" s="1"/>
  <c r="G215" i="25"/>
  <c r="V215" i="25" s="1"/>
  <c r="Z214" i="25"/>
  <c r="X214" i="25"/>
  <c r="W214" i="25"/>
  <c r="H214" i="25" s="1"/>
  <c r="V214" i="25"/>
  <c r="U214" i="25"/>
  <c r="S214" i="25"/>
  <c r="T214" i="25" s="1"/>
  <c r="G214" i="25"/>
  <c r="Z213" i="25"/>
  <c r="X213" i="25" s="1"/>
  <c r="S213" i="25"/>
  <c r="T213" i="25" s="1"/>
  <c r="G213" i="25"/>
  <c r="V213" i="25" s="1"/>
  <c r="E186" i="25"/>
  <c r="T160" i="25"/>
  <c r="S160" i="25"/>
  <c r="Q160" i="25"/>
  <c r="O160" i="25"/>
  <c r="J160" i="25"/>
  <c r="R160" i="25" s="1"/>
  <c r="O159" i="25"/>
  <c r="J159" i="25"/>
  <c r="T159" i="25" s="1"/>
  <c r="T158" i="25"/>
  <c r="S158" i="25"/>
  <c r="R158" i="25"/>
  <c r="Q158" i="25"/>
  <c r="O158" i="25"/>
  <c r="J158" i="25"/>
  <c r="P158" i="25" s="1"/>
  <c r="T157" i="25"/>
  <c r="S157" i="25"/>
  <c r="J157" i="25"/>
  <c r="R157" i="25" s="1"/>
  <c r="T156" i="25"/>
  <c r="S156" i="25"/>
  <c r="R156" i="25"/>
  <c r="Q156" i="25"/>
  <c r="P156" i="25"/>
  <c r="O156" i="25"/>
  <c r="J156" i="25"/>
  <c r="T155" i="25"/>
  <c r="S155" i="25"/>
  <c r="R155" i="25"/>
  <c r="Q155" i="25"/>
  <c r="O155" i="25"/>
  <c r="J155" i="25"/>
  <c r="P155" i="25" s="1"/>
  <c r="J154" i="25"/>
  <c r="O154" i="25" s="1"/>
  <c r="T153" i="25"/>
  <c r="S153" i="25"/>
  <c r="R153" i="25"/>
  <c r="Q153" i="25"/>
  <c r="P153" i="25"/>
  <c r="O153" i="25"/>
  <c r="J153" i="25"/>
  <c r="P152" i="25"/>
  <c r="J152" i="25"/>
  <c r="T152" i="25" s="1"/>
  <c r="T151" i="25"/>
  <c r="S151" i="25"/>
  <c r="R151" i="25"/>
  <c r="J151" i="25"/>
  <c r="Q151" i="25" s="1"/>
  <c r="J150" i="25"/>
  <c r="T150" i="25" s="1"/>
  <c r="R149" i="25"/>
  <c r="Q149" i="25"/>
  <c r="P149" i="25"/>
  <c r="J149" i="25"/>
  <c r="O149" i="25" s="1"/>
  <c r="T148" i="25"/>
  <c r="S148" i="25"/>
  <c r="R148" i="25"/>
  <c r="P148" i="25"/>
  <c r="O148" i="25"/>
  <c r="J148" i="25"/>
  <c r="Q148" i="25" s="1"/>
  <c r="J147" i="25"/>
  <c r="O147" i="25" s="1"/>
  <c r="S146" i="25"/>
  <c r="R146" i="25"/>
  <c r="Q146" i="25"/>
  <c r="P146" i="25"/>
  <c r="J146" i="25"/>
  <c r="T146" i="25" s="1"/>
  <c r="J145" i="25"/>
  <c r="T145" i="25" s="1"/>
  <c r="T144" i="25"/>
  <c r="S144" i="25"/>
  <c r="Q144" i="25"/>
  <c r="O144" i="25"/>
  <c r="J144" i="25"/>
  <c r="R144" i="25" s="1"/>
  <c r="O143" i="25"/>
  <c r="J143" i="25"/>
  <c r="T143" i="25" s="1"/>
  <c r="T142" i="25"/>
  <c r="S142" i="25"/>
  <c r="R142" i="25"/>
  <c r="Q142" i="25"/>
  <c r="O142" i="25"/>
  <c r="J142" i="25"/>
  <c r="P142" i="25" s="1"/>
  <c r="T141" i="25"/>
  <c r="S141" i="25"/>
  <c r="J141" i="25"/>
  <c r="R141" i="25" s="1"/>
  <c r="T140" i="25"/>
  <c r="S140" i="25"/>
  <c r="R140" i="25"/>
  <c r="Q140" i="25"/>
  <c r="P140" i="25"/>
  <c r="O140" i="25"/>
  <c r="J140" i="25"/>
  <c r="T139" i="25"/>
  <c r="S139" i="25"/>
  <c r="R139" i="25"/>
  <c r="Q139" i="25"/>
  <c r="O139" i="25"/>
  <c r="J139" i="25"/>
  <c r="P139" i="25" s="1"/>
  <c r="J138" i="25"/>
  <c r="O138" i="25" s="1"/>
  <c r="T137" i="25"/>
  <c r="S137" i="25"/>
  <c r="R137" i="25"/>
  <c r="Q137" i="25"/>
  <c r="P137" i="25"/>
  <c r="O137" i="25"/>
  <c r="J137" i="25"/>
  <c r="P136" i="25"/>
  <c r="J136" i="25"/>
  <c r="T136" i="25" s="1"/>
  <c r="T135" i="25"/>
  <c r="S135" i="25"/>
  <c r="R135" i="25"/>
  <c r="J135" i="25"/>
  <c r="Q135" i="25" s="1"/>
  <c r="J134" i="25"/>
  <c r="T134" i="25" s="1"/>
  <c r="R133" i="25"/>
  <c r="Q133" i="25"/>
  <c r="P133" i="25"/>
  <c r="J133" i="25"/>
  <c r="O133" i="25" s="1"/>
  <c r="T132" i="25"/>
  <c r="S132" i="25"/>
  <c r="R132" i="25"/>
  <c r="P132" i="25"/>
  <c r="O132" i="25"/>
  <c r="J132" i="25"/>
  <c r="Q132" i="25" s="1"/>
  <c r="J131" i="25"/>
  <c r="O131" i="25" s="1"/>
  <c r="S130" i="25"/>
  <c r="R130" i="25"/>
  <c r="Q130" i="25"/>
  <c r="P130" i="25"/>
  <c r="J130" i="25"/>
  <c r="T130" i="25" s="1"/>
  <c r="J129" i="25"/>
  <c r="Q129" i="25" s="1"/>
  <c r="T128" i="25"/>
  <c r="S128" i="25"/>
  <c r="Q128" i="25"/>
  <c r="O128" i="25"/>
  <c r="J128" i="25"/>
  <c r="R128" i="25" s="1"/>
  <c r="O127" i="25"/>
  <c r="J127" i="25"/>
  <c r="T127" i="25" s="1"/>
  <c r="T126" i="25"/>
  <c r="S126" i="25"/>
  <c r="R126" i="25"/>
  <c r="Q126" i="25"/>
  <c r="O126" i="25"/>
  <c r="J126" i="25"/>
  <c r="P126" i="25" s="1"/>
  <c r="T125" i="25"/>
  <c r="S125" i="25"/>
  <c r="J125" i="25"/>
  <c r="R125" i="25" s="1"/>
  <c r="T124" i="25"/>
  <c r="S124" i="25"/>
  <c r="R124" i="25"/>
  <c r="Q124" i="25"/>
  <c r="P124" i="25"/>
  <c r="O124" i="25"/>
  <c r="J124" i="25"/>
  <c r="T123" i="25"/>
  <c r="S123" i="25"/>
  <c r="R123" i="25"/>
  <c r="Q123" i="25"/>
  <c r="O123" i="25"/>
  <c r="J123" i="25"/>
  <c r="P123" i="25" s="1"/>
  <c r="J122" i="25"/>
  <c r="O122" i="25" s="1"/>
  <c r="T121" i="25"/>
  <c r="S121" i="25"/>
  <c r="R121" i="25"/>
  <c r="Q121" i="25"/>
  <c r="P121" i="25"/>
  <c r="O121" i="25"/>
  <c r="J121" i="25"/>
  <c r="P120" i="25"/>
  <c r="J120" i="25"/>
  <c r="T120" i="25" s="1"/>
  <c r="T119" i="25"/>
  <c r="S119" i="25"/>
  <c r="R119" i="25"/>
  <c r="J119" i="25"/>
  <c r="Q119" i="25" s="1"/>
  <c r="J118" i="25"/>
  <c r="T118" i="25" s="1"/>
  <c r="R117" i="25"/>
  <c r="Q117" i="25"/>
  <c r="P117" i="25"/>
  <c r="J117" i="25"/>
  <c r="O117" i="25" s="1"/>
  <c r="T116" i="25"/>
  <c r="S116" i="25"/>
  <c r="R116" i="25"/>
  <c r="P116" i="25"/>
  <c r="O116" i="25"/>
  <c r="J116" i="25"/>
  <c r="Q116" i="25" s="1"/>
  <c r="J115" i="25"/>
  <c r="O115" i="25" s="1"/>
  <c r="S114" i="25"/>
  <c r="R114" i="25"/>
  <c r="Q114" i="25"/>
  <c r="P114" i="25"/>
  <c r="J114" i="25"/>
  <c r="T114" i="25" s="1"/>
  <c r="J113" i="25"/>
  <c r="Q113" i="25" s="1"/>
  <c r="T112" i="25"/>
  <c r="S112" i="25"/>
  <c r="Q112" i="25"/>
  <c r="O112" i="25"/>
  <c r="J112" i="25"/>
  <c r="R112" i="25" s="1"/>
  <c r="O111" i="25"/>
  <c r="J111" i="25"/>
  <c r="T111" i="25" s="1"/>
  <c r="T110" i="25"/>
  <c r="S110" i="25"/>
  <c r="R110" i="25"/>
  <c r="Q110" i="25"/>
  <c r="O110" i="25"/>
  <c r="J110" i="25"/>
  <c r="P110" i="25" s="1"/>
  <c r="T109" i="25"/>
  <c r="S109" i="25"/>
  <c r="J109" i="25"/>
  <c r="R109" i="25" s="1"/>
  <c r="T108" i="25"/>
  <c r="S108" i="25"/>
  <c r="R108" i="25"/>
  <c r="Q108" i="25"/>
  <c r="P108" i="25"/>
  <c r="O108" i="25"/>
  <c r="J108" i="25"/>
  <c r="T107" i="25"/>
  <c r="S107" i="25"/>
  <c r="R107" i="25"/>
  <c r="Q107" i="25"/>
  <c r="O107" i="25"/>
  <c r="J107" i="25"/>
  <c r="P107" i="25" s="1"/>
  <c r="J106" i="25"/>
  <c r="O106" i="25" s="1"/>
  <c r="T105" i="25"/>
  <c r="S105" i="25"/>
  <c r="R105" i="25"/>
  <c r="Q105" i="25"/>
  <c r="P105" i="25"/>
  <c r="O105" i="25"/>
  <c r="J105" i="25"/>
  <c r="P104" i="25"/>
  <c r="J104" i="25"/>
  <c r="T104" i="25" s="1"/>
  <c r="T103" i="25"/>
  <c r="S103" i="25"/>
  <c r="R103" i="25"/>
  <c r="J103" i="25"/>
  <c r="Q103" i="25" s="1"/>
  <c r="J102" i="25"/>
  <c r="T102" i="25" s="1"/>
  <c r="R101" i="25"/>
  <c r="Q101" i="25"/>
  <c r="P101" i="25"/>
  <c r="J101" i="25"/>
  <c r="O101" i="25" s="1"/>
  <c r="S100" i="25"/>
  <c r="R100" i="25"/>
  <c r="P100" i="25"/>
  <c r="O100" i="25"/>
  <c r="S99" i="25"/>
  <c r="R99" i="25"/>
  <c r="T99" i="25" s="1"/>
  <c r="P99" i="25"/>
  <c r="O99" i="25"/>
  <c r="Q99" i="25" s="1"/>
  <c r="S98" i="25"/>
  <c r="R98" i="25"/>
  <c r="P98" i="25"/>
  <c r="O98" i="25"/>
  <c r="Q98" i="25" s="1"/>
  <c r="S97" i="25"/>
  <c r="R97" i="25"/>
  <c r="T97" i="25" s="1"/>
  <c r="P97" i="25"/>
  <c r="O97" i="25"/>
  <c r="Q97" i="25" s="1"/>
  <c r="S96" i="25"/>
  <c r="R96" i="25"/>
  <c r="T96" i="25" s="1"/>
  <c r="P96" i="25"/>
  <c r="O96" i="25"/>
  <c r="Q96" i="25" s="1"/>
  <c r="S95" i="25"/>
  <c r="R95" i="25"/>
  <c r="T95" i="25" s="1"/>
  <c r="P95" i="25"/>
  <c r="O95" i="25"/>
  <c r="Q95" i="25" s="1"/>
  <c r="S94" i="25"/>
  <c r="R94" i="25"/>
  <c r="T94" i="25" s="1"/>
  <c r="P94" i="25"/>
  <c r="O94" i="25"/>
  <c r="Q94" i="25" s="1"/>
  <c r="S93" i="25"/>
  <c r="R93" i="25"/>
  <c r="P93" i="25"/>
  <c r="O93" i="25"/>
  <c r="Q93" i="25" s="1"/>
  <c r="S92" i="25"/>
  <c r="R92" i="25"/>
  <c r="T92" i="25" s="1"/>
  <c r="P92" i="25"/>
  <c r="O92" i="25"/>
  <c r="Q92" i="25" s="1"/>
  <c r="S91" i="25"/>
  <c r="R91" i="25"/>
  <c r="T91" i="25" s="1"/>
  <c r="P91" i="25"/>
  <c r="O91" i="25"/>
  <c r="Q91" i="25" s="1"/>
  <c r="S90" i="25"/>
  <c r="R90" i="25"/>
  <c r="P90" i="25"/>
  <c r="O90" i="25"/>
  <c r="Q90" i="25" s="1"/>
  <c r="S89" i="25"/>
  <c r="R89" i="25"/>
  <c r="T89" i="25" s="1"/>
  <c r="P89" i="25"/>
  <c r="O89" i="25"/>
  <c r="Q89" i="25" s="1"/>
  <c r="S88" i="25"/>
  <c r="R88" i="25"/>
  <c r="T88" i="25" s="1"/>
  <c r="P88" i="25"/>
  <c r="O88" i="25"/>
  <c r="Q88" i="25" s="1"/>
  <c r="S87" i="25"/>
  <c r="R87" i="25"/>
  <c r="T87" i="25" s="1"/>
  <c r="P87" i="25"/>
  <c r="O87" i="25"/>
  <c r="Q87" i="25" s="1"/>
  <c r="S86" i="25"/>
  <c r="R86" i="25"/>
  <c r="T86" i="25" s="1"/>
  <c r="P86" i="25"/>
  <c r="O86" i="25"/>
  <c r="Q86" i="25" s="1"/>
  <c r="S85" i="25"/>
  <c r="R85" i="25"/>
  <c r="T85" i="25" s="1"/>
  <c r="P85" i="25"/>
  <c r="O85" i="25"/>
  <c r="Q85" i="25" s="1"/>
  <c r="S84" i="25"/>
  <c r="R84" i="25"/>
  <c r="T84" i="25" s="1"/>
  <c r="P84" i="25"/>
  <c r="O84" i="25"/>
  <c r="Q84" i="25" s="1"/>
  <c r="S83" i="25"/>
  <c r="R83" i="25"/>
  <c r="T83" i="25" s="1"/>
  <c r="P83" i="25"/>
  <c r="O83" i="25"/>
  <c r="S82" i="25"/>
  <c r="R82" i="25"/>
  <c r="P82" i="25"/>
  <c r="O82" i="25"/>
  <c r="Q82" i="25" s="1"/>
  <c r="S81" i="25"/>
  <c r="R81" i="25"/>
  <c r="T81" i="25" s="1"/>
  <c r="P81" i="25"/>
  <c r="O81" i="25"/>
  <c r="Q81" i="25" s="1"/>
  <c r="S80" i="25"/>
  <c r="R80" i="25"/>
  <c r="T80" i="25" s="1"/>
  <c r="P80" i="25"/>
  <c r="O80" i="25"/>
  <c r="Q80" i="25" s="1"/>
  <c r="S79" i="25"/>
  <c r="R79" i="25"/>
  <c r="P79" i="25"/>
  <c r="O79" i="25"/>
  <c r="Q79" i="25" s="1"/>
  <c r="S78" i="25"/>
  <c r="R78" i="25"/>
  <c r="T78" i="25" s="1"/>
  <c r="P78" i="25"/>
  <c r="O78" i="25"/>
  <c r="Q78" i="25" s="1"/>
  <c r="S77" i="25"/>
  <c r="R77" i="25"/>
  <c r="T77" i="25" s="1"/>
  <c r="P77" i="25"/>
  <c r="O77" i="25"/>
  <c r="Q77" i="25" s="1"/>
  <c r="S76" i="25"/>
  <c r="R76" i="25"/>
  <c r="T76" i="25" s="1"/>
  <c r="P76" i="25"/>
  <c r="O76" i="25"/>
  <c r="Q76" i="25" s="1"/>
  <c r="S75" i="25"/>
  <c r="R75" i="25"/>
  <c r="T75" i="25" s="1"/>
  <c r="P75" i="25"/>
  <c r="O75" i="25"/>
  <c r="Q75" i="25" s="1"/>
  <c r="S74" i="25"/>
  <c r="R74" i="25"/>
  <c r="P74" i="25"/>
  <c r="O74" i="25"/>
  <c r="Q74" i="25" s="1"/>
  <c r="S73" i="25"/>
  <c r="R73" i="25"/>
  <c r="T73" i="25" s="1"/>
  <c r="P73" i="25"/>
  <c r="O73" i="25"/>
  <c r="Q73" i="25" s="1"/>
  <c r="T72" i="25"/>
  <c r="S72" i="25"/>
  <c r="R72" i="25"/>
  <c r="P72" i="25"/>
  <c r="O72" i="25"/>
  <c r="Q72" i="25" s="1"/>
  <c r="S71" i="25"/>
  <c r="R71" i="25"/>
  <c r="T71" i="25" s="1"/>
  <c r="P71" i="25"/>
  <c r="O71" i="25"/>
  <c r="Q71" i="25" s="1"/>
  <c r="S70" i="25"/>
  <c r="R70" i="25"/>
  <c r="T70" i="25" s="1"/>
  <c r="P70" i="25"/>
  <c r="O70" i="25"/>
  <c r="Q70" i="25" s="1"/>
  <c r="S69" i="25"/>
  <c r="R69" i="25"/>
  <c r="T69" i="25" s="1"/>
  <c r="P69" i="25"/>
  <c r="Q69" i="25" s="1"/>
  <c r="O69" i="25"/>
  <c r="S68" i="25"/>
  <c r="R68" i="25"/>
  <c r="T68" i="25" s="1"/>
  <c r="P68" i="25"/>
  <c r="O68" i="25"/>
  <c r="Q68" i="25" s="1"/>
  <c r="S67" i="25"/>
  <c r="R67" i="25"/>
  <c r="T67" i="25" s="1"/>
  <c r="P67" i="25"/>
  <c r="O67" i="25"/>
  <c r="Q67" i="25" s="1"/>
  <c r="S66" i="25"/>
  <c r="R66" i="25"/>
  <c r="P66" i="25"/>
  <c r="O66" i="25"/>
  <c r="Q66" i="25" s="1"/>
  <c r="S65" i="25"/>
  <c r="R65" i="25"/>
  <c r="T65" i="25" s="1"/>
  <c r="P65" i="25"/>
  <c r="O65" i="25"/>
  <c r="Q65" i="25" s="1"/>
  <c r="S64" i="25"/>
  <c r="R64" i="25"/>
  <c r="T64" i="25" s="1"/>
  <c r="P64" i="25"/>
  <c r="O64" i="25"/>
  <c r="S63" i="25"/>
  <c r="R63" i="25"/>
  <c r="T63" i="25" s="1"/>
  <c r="P63" i="25"/>
  <c r="O63" i="25"/>
  <c r="Q63" i="25" s="1"/>
  <c r="S62" i="25"/>
  <c r="T62" i="25" s="1"/>
  <c r="R62" i="25"/>
  <c r="P62" i="25"/>
  <c r="O62" i="25"/>
  <c r="S61" i="25"/>
  <c r="R61" i="25"/>
  <c r="T61" i="25" s="1"/>
  <c r="P61" i="25"/>
  <c r="O61" i="25"/>
  <c r="Q61" i="25" s="1"/>
  <c r="G60" i="25"/>
  <c r="C53" i="25"/>
  <c r="E52" i="25"/>
  <c r="E51" i="25"/>
  <c r="E50" i="25"/>
  <c r="E49" i="25"/>
  <c r="E467" i="25"/>
  <c r="G516" i="23"/>
  <c r="D514" i="23"/>
  <c r="D512" i="23"/>
  <c r="G512" i="23" s="1"/>
  <c r="G513" i="23" s="1"/>
  <c r="G508" i="23"/>
  <c r="G509" i="23" s="1"/>
  <c r="F508" i="23"/>
  <c r="F509" i="23" s="1"/>
  <c r="E508" i="23"/>
  <c r="E509" i="23" s="1"/>
  <c r="G507" i="23"/>
  <c r="X504" i="23" s="1"/>
  <c r="L504" i="23" s="1"/>
  <c r="T504" i="23" s="1"/>
  <c r="F507" i="23"/>
  <c r="W504" i="23" s="1"/>
  <c r="K504" i="23" s="1"/>
  <c r="S504" i="23" s="1"/>
  <c r="E507" i="23"/>
  <c r="V503" i="23" s="1"/>
  <c r="J503" i="23" s="1"/>
  <c r="R503" i="23" s="1"/>
  <c r="X506" i="23"/>
  <c r="L506" i="23" s="1"/>
  <c r="T506" i="23" s="1"/>
  <c r="W506" i="23"/>
  <c r="K506" i="23" s="1"/>
  <c r="S506" i="23" s="1"/>
  <c r="W505" i="23"/>
  <c r="K505" i="23" s="1"/>
  <c r="S505" i="23" s="1"/>
  <c r="V504" i="23"/>
  <c r="J504" i="23"/>
  <c r="R504" i="23" s="1"/>
  <c r="W503" i="23"/>
  <c r="K503" i="23" s="1"/>
  <c r="S503" i="23" s="1"/>
  <c r="X502" i="23"/>
  <c r="L502" i="23"/>
  <c r="T502" i="23" s="1"/>
  <c r="X501" i="23"/>
  <c r="L501" i="23" s="1"/>
  <c r="T501" i="23" s="1"/>
  <c r="W501" i="23"/>
  <c r="K501" i="23" s="1"/>
  <c r="S501" i="23" s="1"/>
  <c r="V501" i="23"/>
  <c r="J501" i="23" s="1"/>
  <c r="R501" i="23" s="1"/>
  <c r="X499" i="23"/>
  <c r="L499" i="23" s="1"/>
  <c r="T499" i="23" s="1"/>
  <c r="W499" i="23"/>
  <c r="K499" i="23" s="1"/>
  <c r="S499" i="23" s="1"/>
  <c r="V499" i="23"/>
  <c r="J499" i="23" s="1"/>
  <c r="R499" i="23" s="1"/>
  <c r="W498" i="23"/>
  <c r="V498" i="23"/>
  <c r="J498" i="23" s="1"/>
  <c r="R498" i="23" s="1"/>
  <c r="K498" i="23"/>
  <c r="S498" i="23" s="1"/>
  <c r="G487" i="23"/>
  <c r="E485" i="23"/>
  <c r="D483" i="23"/>
  <c r="G483" i="23" s="1"/>
  <c r="G484" i="23" s="1"/>
  <c r="G482" i="23"/>
  <c r="G481" i="23"/>
  <c r="F481" i="23"/>
  <c r="F482" i="23" s="1"/>
  <c r="E481" i="23"/>
  <c r="E482" i="23" s="1"/>
  <c r="X477" i="23"/>
  <c r="W477" i="23"/>
  <c r="V477" i="23"/>
  <c r="X476" i="23"/>
  <c r="W476" i="23"/>
  <c r="V476" i="23"/>
  <c r="X475" i="23"/>
  <c r="W475" i="23"/>
  <c r="V475" i="23"/>
  <c r="X474" i="23"/>
  <c r="W474" i="23"/>
  <c r="V474" i="23"/>
  <c r="X473" i="23"/>
  <c r="W473" i="23"/>
  <c r="V473" i="23"/>
  <c r="X472" i="23"/>
  <c r="W472" i="23"/>
  <c r="V472" i="23"/>
  <c r="X471" i="23"/>
  <c r="W471" i="23"/>
  <c r="V471" i="23"/>
  <c r="X470" i="23"/>
  <c r="W470" i="23"/>
  <c r="V470" i="23"/>
  <c r="X469" i="23"/>
  <c r="U478" i="23" s="1"/>
  <c r="W469" i="23"/>
  <c r="V469" i="23"/>
  <c r="N461" i="23"/>
  <c r="G461" i="23"/>
  <c r="N460" i="23"/>
  <c r="E460" i="23"/>
  <c r="N459" i="23"/>
  <c r="D459" i="23"/>
  <c r="N458" i="23"/>
  <c r="D458" i="23"/>
  <c r="D460" i="23" s="1"/>
  <c r="N457" i="23"/>
  <c r="G457" i="23"/>
  <c r="G458" i="23" s="1"/>
  <c r="D457" i="23"/>
  <c r="N456" i="23"/>
  <c r="N455" i="23"/>
  <c r="N454" i="23"/>
  <c r="X453" i="23"/>
  <c r="W453" i="23"/>
  <c r="V453" i="23"/>
  <c r="N453" i="23"/>
  <c r="X452" i="23"/>
  <c r="W452" i="23"/>
  <c r="V452" i="23"/>
  <c r="N452" i="23"/>
  <c r="X451" i="23"/>
  <c r="W451" i="23"/>
  <c r="V451" i="23"/>
  <c r="N451" i="23"/>
  <c r="X450" i="23"/>
  <c r="W450" i="23"/>
  <c r="V450" i="23"/>
  <c r="N450" i="23"/>
  <c r="X449" i="23"/>
  <c r="W449" i="23"/>
  <c r="V449" i="23"/>
  <c r="N449" i="23"/>
  <c r="X448" i="23"/>
  <c r="W448" i="23"/>
  <c r="V448" i="23"/>
  <c r="N448" i="23"/>
  <c r="X447" i="23"/>
  <c r="W447" i="23"/>
  <c r="V447" i="23"/>
  <c r="N447" i="23"/>
  <c r="X446" i="23"/>
  <c r="W446" i="23"/>
  <c r="V446" i="23"/>
  <c r="N446" i="23"/>
  <c r="X445" i="23"/>
  <c r="U454" i="23" s="1"/>
  <c r="W445" i="23"/>
  <c r="V445" i="23"/>
  <c r="J423" i="23"/>
  <c r="E423" i="23"/>
  <c r="J422" i="23"/>
  <c r="E422" i="23"/>
  <c r="J421" i="23"/>
  <c r="E421" i="23"/>
  <c r="J420" i="23"/>
  <c r="E420" i="23"/>
  <c r="J419" i="23"/>
  <c r="E419" i="23"/>
  <c r="J418" i="23"/>
  <c r="E418" i="23"/>
  <c r="J417" i="23"/>
  <c r="E417" i="23"/>
  <c r="J416" i="23"/>
  <c r="E416" i="23"/>
  <c r="J415" i="23"/>
  <c r="E415" i="23"/>
  <c r="J414" i="23"/>
  <c r="E414" i="23"/>
  <c r="J413" i="23"/>
  <c r="E413" i="23"/>
  <c r="J412" i="23"/>
  <c r="E412" i="23"/>
  <c r="J411" i="23"/>
  <c r="E411" i="23"/>
  <c r="J410" i="23"/>
  <c r="E410" i="23"/>
  <c r="J409" i="23"/>
  <c r="E409" i="23"/>
  <c r="J408" i="23"/>
  <c r="E408" i="23"/>
  <c r="J407" i="23"/>
  <c r="E407" i="23"/>
  <c r="J406" i="23"/>
  <c r="E406" i="23"/>
  <c r="J405" i="23"/>
  <c r="E405" i="23"/>
  <c r="J404" i="23"/>
  <c r="E404" i="23"/>
  <c r="J403" i="23"/>
  <c r="E403" i="23"/>
  <c r="J402" i="23"/>
  <c r="E402" i="23"/>
  <c r="J401" i="23"/>
  <c r="E401" i="23"/>
  <c r="J400" i="23"/>
  <c r="E400" i="23"/>
  <c r="J399" i="23"/>
  <c r="E399" i="23"/>
  <c r="J398" i="23"/>
  <c r="E398" i="23"/>
  <c r="J397" i="23"/>
  <c r="E397" i="23"/>
  <c r="J396" i="23"/>
  <c r="E396" i="23"/>
  <c r="J395" i="23"/>
  <c r="E395" i="23"/>
  <c r="J394" i="23"/>
  <c r="E394" i="23"/>
  <c r="J393" i="23"/>
  <c r="E393" i="23"/>
  <c r="J392" i="23"/>
  <c r="E392" i="23"/>
  <c r="J391" i="23"/>
  <c r="E391" i="23"/>
  <c r="J390" i="23"/>
  <c r="E390" i="23"/>
  <c r="J389" i="23"/>
  <c r="E389" i="23"/>
  <c r="J388" i="23"/>
  <c r="E388" i="23"/>
  <c r="J387" i="23"/>
  <c r="E387" i="23"/>
  <c r="J386" i="23"/>
  <c r="E386" i="23"/>
  <c r="J385" i="23"/>
  <c r="I428" i="23" s="1"/>
  <c r="E385" i="23"/>
  <c r="D428" i="23" s="1"/>
  <c r="J384" i="23"/>
  <c r="E384" i="23"/>
  <c r="G348" i="23"/>
  <c r="F348" i="23"/>
  <c r="F349" i="23" s="1"/>
  <c r="F350" i="23" s="1"/>
  <c r="F351" i="23" s="1"/>
  <c r="E348" i="23"/>
  <c r="E349" i="23" s="1"/>
  <c r="E350" i="23" s="1"/>
  <c r="E351" i="23" s="1"/>
  <c r="D348" i="23"/>
  <c r="D349" i="23" s="1"/>
  <c r="D350" i="23" s="1"/>
  <c r="D351" i="23" s="1"/>
  <c r="G338" i="23"/>
  <c r="E338" i="23"/>
  <c r="D337" i="23"/>
  <c r="G333" i="23"/>
  <c r="F333" i="23"/>
  <c r="E333" i="23"/>
  <c r="D333" i="23"/>
  <c r="G332" i="23"/>
  <c r="F332" i="23"/>
  <c r="E332" i="23"/>
  <c r="D332" i="23"/>
  <c r="G331" i="23"/>
  <c r="F331" i="23"/>
  <c r="E331" i="23"/>
  <c r="D331" i="23"/>
  <c r="G329" i="23"/>
  <c r="F329" i="23"/>
  <c r="E329" i="23"/>
  <c r="D329" i="23"/>
  <c r="G328" i="23"/>
  <c r="G343" i="23" s="1"/>
  <c r="F328" i="23"/>
  <c r="E328" i="23"/>
  <c r="E343" i="23" s="1"/>
  <c r="D328" i="23"/>
  <c r="D338" i="23" s="1"/>
  <c r="G327" i="23"/>
  <c r="G337" i="23" s="1"/>
  <c r="F327" i="23"/>
  <c r="F337" i="23" s="1"/>
  <c r="E327" i="23"/>
  <c r="E337" i="23" s="1"/>
  <c r="D327" i="23"/>
  <c r="D342" i="23" s="1"/>
  <c r="Y259" i="23"/>
  <c r="X259" i="23"/>
  <c r="W259" i="23"/>
  <c r="T259" i="23"/>
  <c r="V259" i="23" s="1"/>
  <c r="S259" i="23"/>
  <c r="U259" i="23" s="1"/>
  <c r="I259" i="23"/>
  <c r="G259" i="23"/>
  <c r="H259" i="23" s="1"/>
  <c r="A259" i="23"/>
  <c r="Y258" i="23"/>
  <c r="X258" i="23"/>
  <c r="W258" i="23"/>
  <c r="T258" i="23"/>
  <c r="V258" i="23" s="1"/>
  <c r="S258" i="23"/>
  <c r="I258" i="23"/>
  <c r="G258" i="23"/>
  <c r="H258" i="23" s="1"/>
  <c r="Y257" i="23"/>
  <c r="X257" i="23"/>
  <c r="W257" i="23"/>
  <c r="T257" i="23"/>
  <c r="V257" i="23" s="1"/>
  <c r="S257" i="23"/>
  <c r="U257" i="23" s="1"/>
  <c r="H257" i="23"/>
  <c r="G257" i="23"/>
  <c r="I257" i="23" s="1"/>
  <c r="A257" i="23"/>
  <c r="Y256" i="23"/>
  <c r="X256" i="23"/>
  <c r="W256" i="23"/>
  <c r="T256" i="23"/>
  <c r="V256" i="23" s="1"/>
  <c r="S256" i="23"/>
  <c r="G256" i="23"/>
  <c r="I256" i="23" s="1"/>
  <c r="Y255" i="23"/>
  <c r="X255" i="23"/>
  <c r="W255" i="23"/>
  <c r="U255" i="23"/>
  <c r="T255" i="23"/>
  <c r="S255" i="23"/>
  <c r="V255" i="23" s="1"/>
  <c r="H255" i="23"/>
  <c r="G255" i="23"/>
  <c r="I255" i="23" s="1"/>
  <c r="A255" i="23"/>
  <c r="Y254" i="23"/>
  <c r="X254" i="23"/>
  <c r="W254" i="23"/>
  <c r="T254" i="23"/>
  <c r="V254" i="23" s="1"/>
  <c r="S254" i="23"/>
  <c r="G254" i="23"/>
  <c r="I254" i="23" s="1"/>
  <c r="Y253" i="23"/>
  <c r="X253" i="23"/>
  <c r="W253" i="23"/>
  <c r="T253" i="23"/>
  <c r="U253" i="23" s="1"/>
  <c r="S253" i="23"/>
  <c r="H253" i="23"/>
  <c r="G253" i="23"/>
  <c r="I253" i="23" s="1"/>
  <c r="A253" i="23"/>
  <c r="Y252" i="23"/>
  <c r="X252" i="23"/>
  <c r="W252" i="23"/>
  <c r="V252" i="23"/>
  <c r="T252" i="23"/>
  <c r="U252" i="23" s="1"/>
  <c r="S252" i="23"/>
  <c r="I252" i="23"/>
  <c r="G252" i="23"/>
  <c r="A252" i="23"/>
  <c r="H226" i="23"/>
  <c r="H225" i="23"/>
  <c r="H224" i="23"/>
  <c r="Z220" i="23"/>
  <c r="X220" i="23" s="1"/>
  <c r="W220" i="23"/>
  <c r="U220" i="23"/>
  <c r="S220" i="23"/>
  <c r="T220" i="23" s="1"/>
  <c r="G220" i="23"/>
  <c r="V220" i="23" s="1"/>
  <c r="Z219" i="23"/>
  <c r="X219" i="23"/>
  <c r="H219" i="23" s="1"/>
  <c r="W219" i="23"/>
  <c r="V219" i="23"/>
  <c r="U219" i="23"/>
  <c r="T219" i="23"/>
  <c r="S219" i="23"/>
  <c r="G219" i="23"/>
  <c r="Z218" i="23"/>
  <c r="X218" i="23" s="1"/>
  <c r="W218" i="23"/>
  <c r="U218" i="23"/>
  <c r="S218" i="23"/>
  <c r="T218" i="23" s="1"/>
  <c r="G218" i="23"/>
  <c r="H218" i="23" s="1"/>
  <c r="Z217" i="23"/>
  <c r="X217" i="23"/>
  <c r="W217" i="23"/>
  <c r="H217" i="23" s="1"/>
  <c r="T217" i="23"/>
  <c r="S217" i="23"/>
  <c r="G217" i="23"/>
  <c r="V217" i="23" s="1"/>
  <c r="Z216" i="23"/>
  <c r="X216" i="23" s="1"/>
  <c r="W216" i="23"/>
  <c r="S216" i="23"/>
  <c r="T216" i="23" s="1"/>
  <c r="G216" i="23"/>
  <c r="H216" i="23" s="1"/>
  <c r="Z215" i="23"/>
  <c r="X215" i="23" s="1"/>
  <c r="T215" i="23"/>
  <c r="S215" i="23"/>
  <c r="G215" i="23"/>
  <c r="V215" i="23" s="1"/>
  <c r="Z214" i="23"/>
  <c r="X214" i="23" s="1"/>
  <c r="U214" i="23"/>
  <c r="S214" i="23"/>
  <c r="T214" i="23" s="1"/>
  <c r="G214" i="23"/>
  <c r="V214" i="23" s="1"/>
  <c r="Z213" i="23"/>
  <c r="X213" i="23"/>
  <c r="W213" i="23"/>
  <c r="V213" i="23"/>
  <c r="U213" i="23"/>
  <c r="T213" i="23"/>
  <c r="S213" i="23"/>
  <c r="H213" i="23"/>
  <c r="G213" i="23"/>
  <c r="E186" i="23"/>
  <c r="J160" i="23"/>
  <c r="R160" i="23" s="1"/>
  <c r="J159" i="23"/>
  <c r="T159" i="23" s="1"/>
  <c r="T158" i="23"/>
  <c r="S158" i="23"/>
  <c r="Q158" i="23"/>
  <c r="O158" i="23"/>
  <c r="J158" i="23"/>
  <c r="P158" i="23" s="1"/>
  <c r="T157" i="23"/>
  <c r="S157" i="23"/>
  <c r="J157" i="23"/>
  <c r="R157" i="23" s="1"/>
  <c r="T156" i="23"/>
  <c r="S156" i="23"/>
  <c r="R156" i="23"/>
  <c r="Q156" i="23"/>
  <c r="O156" i="23"/>
  <c r="J156" i="23"/>
  <c r="P156" i="23" s="1"/>
  <c r="T155" i="23"/>
  <c r="R155" i="23"/>
  <c r="Q155" i="23"/>
  <c r="J155" i="23"/>
  <c r="S155" i="23" s="1"/>
  <c r="T154" i="23"/>
  <c r="S154" i="23"/>
  <c r="R154" i="23"/>
  <c r="Q154" i="23"/>
  <c r="P154" i="23"/>
  <c r="O154" i="23"/>
  <c r="J154" i="23"/>
  <c r="T153" i="23"/>
  <c r="S153" i="23"/>
  <c r="R153" i="23"/>
  <c r="Q153" i="23"/>
  <c r="P153" i="23"/>
  <c r="O153" i="23"/>
  <c r="J153" i="23"/>
  <c r="Q152" i="23"/>
  <c r="O152" i="23"/>
  <c r="J152" i="23"/>
  <c r="S152" i="23" s="1"/>
  <c r="T151" i="23"/>
  <c r="J151" i="23"/>
  <c r="Q151" i="23" s="1"/>
  <c r="T150" i="23"/>
  <c r="Q150" i="23"/>
  <c r="O150" i="23"/>
  <c r="J150" i="23"/>
  <c r="S150" i="23" s="1"/>
  <c r="T149" i="23"/>
  <c r="R149" i="23"/>
  <c r="P149" i="23"/>
  <c r="J149" i="23"/>
  <c r="O149" i="23" s="1"/>
  <c r="T148" i="23"/>
  <c r="S148" i="23"/>
  <c r="R148" i="23"/>
  <c r="O148" i="23"/>
  <c r="J148" i="23"/>
  <c r="Q148" i="23" s="1"/>
  <c r="R147" i="23"/>
  <c r="P147" i="23"/>
  <c r="J147" i="23"/>
  <c r="T147" i="23" s="1"/>
  <c r="T146" i="23"/>
  <c r="S146" i="23"/>
  <c r="R146" i="23"/>
  <c r="Q146" i="23"/>
  <c r="P146" i="23"/>
  <c r="J146" i="23"/>
  <c r="O146" i="23" s="1"/>
  <c r="J145" i="23"/>
  <c r="T145" i="23" s="1"/>
  <c r="J144" i="23"/>
  <c r="R144" i="23" s="1"/>
  <c r="J143" i="23"/>
  <c r="T143" i="23" s="1"/>
  <c r="T142" i="23"/>
  <c r="S142" i="23"/>
  <c r="Q142" i="23"/>
  <c r="O142" i="23"/>
  <c r="J142" i="23"/>
  <c r="P142" i="23" s="1"/>
  <c r="T141" i="23"/>
  <c r="S141" i="23"/>
  <c r="J141" i="23"/>
  <c r="R141" i="23" s="1"/>
  <c r="T140" i="23"/>
  <c r="S140" i="23"/>
  <c r="R140" i="23"/>
  <c r="Q140" i="23"/>
  <c r="O140" i="23"/>
  <c r="J140" i="23"/>
  <c r="P140" i="23" s="1"/>
  <c r="T139" i="23"/>
  <c r="R139" i="23"/>
  <c r="Q139" i="23"/>
  <c r="J139" i="23"/>
  <c r="S139" i="23" s="1"/>
  <c r="T138" i="23"/>
  <c r="S138" i="23"/>
  <c r="R138" i="23"/>
  <c r="Q138" i="23"/>
  <c r="P138" i="23"/>
  <c r="O138" i="23"/>
  <c r="J138" i="23"/>
  <c r="T137" i="23"/>
  <c r="S137" i="23"/>
  <c r="R137" i="23"/>
  <c r="Q137" i="23"/>
  <c r="P137" i="23"/>
  <c r="O137" i="23"/>
  <c r="J137" i="23"/>
  <c r="Q136" i="23"/>
  <c r="O136" i="23"/>
  <c r="J136" i="23"/>
  <c r="S136" i="23" s="1"/>
  <c r="T135" i="23"/>
  <c r="J135" i="23"/>
  <c r="Q135" i="23" s="1"/>
  <c r="T134" i="23"/>
  <c r="Q134" i="23"/>
  <c r="O134" i="23"/>
  <c r="J134" i="23"/>
  <c r="S134" i="23" s="1"/>
  <c r="T133" i="23"/>
  <c r="R133" i="23"/>
  <c r="P133" i="23"/>
  <c r="J133" i="23"/>
  <c r="O133" i="23" s="1"/>
  <c r="T132" i="23"/>
  <c r="S132" i="23"/>
  <c r="R132" i="23"/>
  <c r="O132" i="23"/>
  <c r="J132" i="23"/>
  <c r="Q132" i="23" s="1"/>
  <c r="R131" i="23"/>
  <c r="P131" i="23"/>
  <c r="J131" i="23"/>
  <c r="T131" i="23" s="1"/>
  <c r="T130" i="23"/>
  <c r="S130" i="23"/>
  <c r="R130" i="23"/>
  <c r="Q130" i="23"/>
  <c r="P130" i="23"/>
  <c r="J130" i="23"/>
  <c r="O130" i="23" s="1"/>
  <c r="J129" i="23"/>
  <c r="T129" i="23" s="1"/>
  <c r="J128" i="23"/>
  <c r="R128" i="23" s="1"/>
  <c r="J127" i="23"/>
  <c r="T127" i="23" s="1"/>
  <c r="T126" i="23"/>
  <c r="S126" i="23"/>
  <c r="Q126" i="23"/>
  <c r="O126" i="23"/>
  <c r="J126" i="23"/>
  <c r="P126" i="23" s="1"/>
  <c r="T125" i="23"/>
  <c r="S125" i="23"/>
  <c r="J125" i="23"/>
  <c r="R125" i="23" s="1"/>
  <c r="T124" i="23"/>
  <c r="S124" i="23"/>
  <c r="R124" i="23"/>
  <c r="Q124" i="23"/>
  <c r="O124" i="23"/>
  <c r="J124" i="23"/>
  <c r="P124" i="23" s="1"/>
  <c r="T123" i="23"/>
  <c r="R123" i="23"/>
  <c r="Q123" i="23"/>
  <c r="J123" i="23"/>
  <c r="S123" i="23" s="1"/>
  <c r="T122" i="23"/>
  <c r="S122" i="23"/>
  <c r="R122" i="23"/>
  <c r="Q122" i="23"/>
  <c r="P122" i="23"/>
  <c r="O122" i="23"/>
  <c r="J122" i="23"/>
  <c r="T121" i="23"/>
  <c r="S121" i="23"/>
  <c r="R121" i="23"/>
  <c r="Q121" i="23"/>
  <c r="P121" i="23"/>
  <c r="O121" i="23"/>
  <c r="J121" i="23"/>
  <c r="Q120" i="23"/>
  <c r="O120" i="23"/>
  <c r="J120" i="23"/>
  <c r="T120" i="23" s="1"/>
  <c r="T119" i="23"/>
  <c r="J119" i="23"/>
  <c r="Q119" i="23" s="1"/>
  <c r="T118" i="23"/>
  <c r="Q118" i="23"/>
  <c r="O118" i="23"/>
  <c r="J118" i="23"/>
  <c r="S118" i="23" s="1"/>
  <c r="T117" i="23"/>
  <c r="S117" i="23"/>
  <c r="R117" i="23"/>
  <c r="P117" i="23"/>
  <c r="J117" i="23"/>
  <c r="O117" i="23" s="1"/>
  <c r="T116" i="23"/>
  <c r="S116" i="23"/>
  <c r="R116" i="23"/>
  <c r="O116" i="23"/>
  <c r="J116" i="23"/>
  <c r="Q116" i="23" s="1"/>
  <c r="R115" i="23"/>
  <c r="P115" i="23"/>
  <c r="J115" i="23"/>
  <c r="T115" i="23" s="1"/>
  <c r="T114" i="23"/>
  <c r="S114" i="23"/>
  <c r="R114" i="23"/>
  <c r="Q114" i="23"/>
  <c r="P114" i="23"/>
  <c r="J114" i="23"/>
  <c r="O114" i="23" s="1"/>
  <c r="J113" i="23"/>
  <c r="T113" i="23" s="1"/>
  <c r="J112" i="23"/>
  <c r="R112" i="23" s="1"/>
  <c r="J111" i="23"/>
  <c r="T111" i="23" s="1"/>
  <c r="T110" i="23"/>
  <c r="S110" i="23"/>
  <c r="Q110" i="23"/>
  <c r="O110" i="23"/>
  <c r="J110" i="23"/>
  <c r="P110" i="23" s="1"/>
  <c r="T109" i="23"/>
  <c r="S109" i="23"/>
  <c r="J109" i="23"/>
  <c r="R109" i="23" s="1"/>
  <c r="T108" i="23"/>
  <c r="S108" i="23"/>
  <c r="R108" i="23"/>
  <c r="Q108" i="23"/>
  <c r="O108" i="23"/>
  <c r="J108" i="23"/>
  <c r="P108" i="23" s="1"/>
  <c r="T107" i="23"/>
  <c r="R107" i="23"/>
  <c r="Q107" i="23"/>
  <c r="J107" i="23"/>
  <c r="S107" i="23" s="1"/>
  <c r="T106" i="23"/>
  <c r="S106" i="23"/>
  <c r="R106" i="23"/>
  <c r="Q106" i="23"/>
  <c r="P106" i="23"/>
  <c r="O106" i="23"/>
  <c r="J106" i="23"/>
  <c r="T105" i="23"/>
  <c r="S105" i="23"/>
  <c r="R105" i="23"/>
  <c r="Q105" i="23"/>
  <c r="P105" i="23"/>
  <c r="O105" i="23"/>
  <c r="J105" i="23"/>
  <c r="O104" i="23"/>
  <c r="J104" i="23"/>
  <c r="T104" i="23" s="1"/>
  <c r="T103" i="23"/>
  <c r="J103" i="23"/>
  <c r="Q103" i="23" s="1"/>
  <c r="T102" i="23"/>
  <c r="Q102" i="23"/>
  <c r="O102" i="23"/>
  <c r="J102" i="23"/>
  <c r="S102" i="23" s="1"/>
  <c r="T101" i="23"/>
  <c r="S101" i="23"/>
  <c r="R101" i="23"/>
  <c r="P101" i="23"/>
  <c r="J101" i="23"/>
  <c r="O101" i="23" s="1"/>
  <c r="S100" i="23"/>
  <c r="R100" i="23"/>
  <c r="T100" i="23" s="1"/>
  <c r="P100" i="23"/>
  <c r="O100" i="23"/>
  <c r="Q100" i="23" s="1"/>
  <c r="S99" i="23"/>
  <c r="R99" i="23"/>
  <c r="T99" i="23" s="1"/>
  <c r="P99" i="23"/>
  <c r="O99" i="23"/>
  <c r="Q99" i="23" s="1"/>
  <c r="S98" i="23"/>
  <c r="R98" i="23"/>
  <c r="T98" i="23" s="1"/>
  <c r="P98" i="23"/>
  <c r="O98" i="23"/>
  <c r="Q98" i="23" s="1"/>
  <c r="T97" i="23"/>
  <c r="S97" i="23"/>
  <c r="R97" i="23"/>
  <c r="P97" i="23"/>
  <c r="O97" i="23"/>
  <c r="Q97" i="23" s="1"/>
  <c r="S96" i="23"/>
  <c r="R96" i="23"/>
  <c r="T96" i="23" s="1"/>
  <c r="Q96" i="23"/>
  <c r="P96" i="23"/>
  <c r="O96" i="23"/>
  <c r="S95" i="23"/>
  <c r="R95" i="23"/>
  <c r="T95" i="23" s="1"/>
  <c r="P95" i="23"/>
  <c r="Q95" i="23" s="1"/>
  <c r="O95" i="23"/>
  <c r="S94" i="23"/>
  <c r="R94" i="23"/>
  <c r="T94" i="23" s="1"/>
  <c r="P94" i="23"/>
  <c r="O94" i="23"/>
  <c r="Q94" i="23" s="1"/>
  <c r="S93" i="23"/>
  <c r="T93" i="23" s="1"/>
  <c r="R93" i="23"/>
  <c r="Q93" i="23"/>
  <c r="P93" i="23"/>
  <c r="O93" i="23"/>
  <c r="S92" i="23"/>
  <c r="R92" i="23"/>
  <c r="T92" i="23" s="1"/>
  <c r="P92" i="23"/>
  <c r="O92" i="23"/>
  <c r="Q92" i="23" s="1"/>
  <c r="S91" i="23"/>
  <c r="R91" i="23"/>
  <c r="T91" i="23" s="1"/>
  <c r="P91" i="23"/>
  <c r="O91" i="23"/>
  <c r="Q91" i="23" s="1"/>
  <c r="S90" i="23"/>
  <c r="R90" i="23"/>
  <c r="T90" i="23" s="1"/>
  <c r="P90" i="23"/>
  <c r="O90" i="23"/>
  <c r="Q90" i="23" s="1"/>
  <c r="T89" i="23"/>
  <c r="S89" i="23"/>
  <c r="R89" i="23"/>
  <c r="P89" i="23"/>
  <c r="O89" i="23"/>
  <c r="Q89" i="23" s="1"/>
  <c r="S88" i="23"/>
  <c r="R88" i="23"/>
  <c r="T88" i="23" s="1"/>
  <c r="Q88" i="23"/>
  <c r="P88" i="23"/>
  <c r="O88" i="23"/>
  <c r="S87" i="23"/>
  <c r="R87" i="23"/>
  <c r="T87" i="23" s="1"/>
  <c r="P87" i="23"/>
  <c r="Q87" i="23" s="1"/>
  <c r="O87" i="23"/>
  <c r="S86" i="23"/>
  <c r="R86" i="23"/>
  <c r="T86" i="23" s="1"/>
  <c r="P86" i="23"/>
  <c r="O86" i="23"/>
  <c r="Q86" i="23" s="1"/>
  <c r="S85" i="23"/>
  <c r="T85" i="23" s="1"/>
  <c r="R85" i="23"/>
  <c r="Q85" i="23"/>
  <c r="P85" i="23"/>
  <c r="O85" i="23"/>
  <c r="S84" i="23"/>
  <c r="R84" i="23"/>
  <c r="T84" i="23" s="1"/>
  <c r="P84" i="23"/>
  <c r="O84" i="23"/>
  <c r="Q84" i="23" s="1"/>
  <c r="S83" i="23"/>
  <c r="R83" i="23"/>
  <c r="T83" i="23" s="1"/>
  <c r="P83" i="23"/>
  <c r="O83" i="23"/>
  <c r="Q83" i="23" s="1"/>
  <c r="S82" i="23"/>
  <c r="R82" i="23"/>
  <c r="T82" i="23" s="1"/>
  <c r="P82" i="23"/>
  <c r="O82" i="23"/>
  <c r="Q82" i="23" s="1"/>
  <c r="T81" i="23"/>
  <c r="S81" i="23"/>
  <c r="R81" i="23"/>
  <c r="P81" i="23"/>
  <c r="O81" i="23"/>
  <c r="Q81" i="23" s="1"/>
  <c r="S80" i="23"/>
  <c r="R80" i="23"/>
  <c r="T80" i="23" s="1"/>
  <c r="Q80" i="23"/>
  <c r="P80" i="23"/>
  <c r="O80" i="23"/>
  <c r="S79" i="23"/>
  <c r="R79" i="23"/>
  <c r="T79" i="23" s="1"/>
  <c r="P79" i="23"/>
  <c r="Q79" i="23" s="1"/>
  <c r="O79" i="23"/>
  <c r="S78" i="23"/>
  <c r="R78" i="23"/>
  <c r="T78" i="23" s="1"/>
  <c r="P78" i="23"/>
  <c r="O78" i="23"/>
  <c r="Q78" i="23" s="1"/>
  <c r="S77" i="23"/>
  <c r="T77" i="23" s="1"/>
  <c r="R77" i="23"/>
  <c r="Q77" i="23"/>
  <c r="P77" i="23"/>
  <c r="O77" i="23"/>
  <c r="S76" i="23"/>
  <c r="R76" i="23"/>
  <c r="T76" i="23" s="1"/>
  <c r="P76" i="23"/>
  <c r="O76" i="23"/>
  <c r="Q76" i="23" s="1"/>
  <c r="S75" i="23"/>
  <c r="R75" i="23"/>
  <c r="T75" i="23" s="1"/>
  <c r="P75" i="23"/>
  <c r="O75" i="23"/>
  <c r="Q75" i="23" s="1"/>
  <c r="S74" i="23"/>
  <c r="R74" i="23"/>
  <c r="T74" i="23" s="1"/>
  <c r="P74" i="23"/>
  <c r="O74" i="23"/>
  <c r="Q74" i="23" s="1"/>
  <c r="T73" i="23"/>
  <c r="S73" i="23"/>
  <c r="R73" i="23"/>
  <c r="P73" i="23"/>
  <c r="O73" i="23"/>
  <c r="Q73" i="23" s="1"/>
  <c r="S72" i="23"/>
  <c r="R72" i="23"/>
  <c r="T72" i="23" s="1"/>
  <c r="Q72" i="23"/>
  <c r="P72" i="23"/>
  <c r="O72" i="23"/>
  <c r="S71" i="23"/>
  <c r="R71" i="23"/>
  <c r="T71" i="23" s="1"/>
  <c r="P71" i="23"/>
  <c r="Q71" i="23" s="1"/>
  <c r="O71" i="23"/>
  <c r="S70" i="23"/>
  <c r="R70" i="23"/>
  <c r="T70" i="23" s="1"/>
  <c r="P70" i="23"/>
  <c r="O70" i="23"/>
  <c r="Q70" i="23" s="1"/>
  <c r="S69" i="23"/>
  <c r="T69" i="23" s="1"/>
  <c r="R69" i="23"/>
  <c r="Q69" i="23"/>
  <c r="P69" i="23"/>
  <c r="O69" i="23"/>
  <c r="S68" i="23"/>
  <c r="R68" i="23"/>
  <c r="T68" i="23" s="1"/>
  <c r="P68" i="23"/>
  <c r="O68" i="23"/>
  <c r="Q68" i="23" s="1"/>
  <c r="S67" i="23"/>
  <c r="R67" i="23"/>
  <c r="T67" i="23" s="1"/>
  <c r="P67" i="23"/>
  <c r="O67" i="23"/>
  <c r="Q67" i="23" s="1"/>
  <c r="S66" i="23"/>
  <c r="R66" i="23"/>
  <c r="T66" i="23" s="1"/>
  <c r="P66" i="23"/>
  <c r="O66" i="23"/>
  <c r="Q66" i="23" s="1"/>
  <c r="T65" i="23"/>
  <c r="S65" i="23"/>
  <c r="R65" i="23"/>
  <c r="P65" i="23"/>
  <c r="O65" i="23"/>
  <c r="Q65" i="23" s="1"/>
  <c r="S64" i="23"/>
  <c r="R64" i="23"/>
  <c r="T64" i="23" s="1"/>
  <c r="Q64" i="23"/>
  <c r="P64" i="23"/>
  <c r="O64" i="23"/>
  <c r="S63" i="23"/>
  <c r="R63" i="23"/>
  <c r="T63" i="23" s="1"/>
  <c r="P63" i="23"/>
  <c r="Q63" i="23" s="1"/>
  <c r="O63" i="23"/>
  <c r="S62" i="23"/>
  <c r="R62" i="23"/>
  <c r="T62" i="23" s="1"/>
  <c r="P62" i="23"/>
  <c r="O62" i="23"/>
  <c r="Q62" i="23" s="1"/>
  <c r="S61" i="23"/>
  <c r="T61" i="23" s="1"/>
  <c r="R61" i="23"/>
  <c r="Q61" i="23"/>
  <c r="P61" i="23"/>
  <c r="O61" i="23"/>
  <c r="G60" i="23"/>
  <c r="C53" i="23"/>
  <c r="E52" i="23"/>
  <c r="E51" i="23"/>
  <c r="E50" i="23"/>
  <c r="E49" i="23"/>
  <c r="G349" i="23"/>
  <c r="G350" i="23" s="1"/>
  <c r="G351" i="23" s="1"/>
  <c r="E467" i="23"/>
  <c r="T82" i="25" l="1"/>
  <c r="Q64" i="25"/>
  <c r="T74" i="25"/>
  <c r="Q62" i="25"/>
  <c r="Q100" i="25"/>
  <c r="T90" i="25"/>
  <c r="T66" i="25"/>
  <c r="T98" i="25"/>
  <c r="T79" i="25"/>
  <c r="Q83" i="25"/>
  <c r="T93" i="25"/>
  <c r="T100" i="25"/>
  <c r="D513" i="25"/>
  <c r="U479" i="25"/>
  <c r="D486" i="25"/>
  <c r="U455" i="25"/>
  <c r="D461" i="25"/>
  <c r="S101" i="25"/>
  <c r="P106" i="25"/>
  <c r="O113" i="25"/>
  <c r="Q115" i="25"/>
  <c r="S117" i="25"/>
  <c r="P122" i="25"/>
  <c r="O129" i="25"/>
  <c r="Q131" i="25"/>
  <c r="S133" i="25"/>
  <c r="P138" i="25"/>
  <c r="O145" i="25"/>
  <c r="Q147" i="25"/>
  <c r="S149" i="25"/>
  <c r="P154" i="25"/>
  <c r="V218" i="25"/>
  <c r="H254" i="25"/>
  <c r="V255" i="25"/>
  <c r="U258" i="25"/>
  <c r="D342" i="25"/>
  <c r="I427" i="25"/>
  <c r="I429" i="25" s="1"/>
  <c r="I426" i="25" s="1"/>
  <c r="P115" i="25"/>
  <c r="T101" i="25"/>
  <c r="O104" i="25"/>
  <c r="Q106" i="25"/>
  <c r="P113" i="25"/>
  <c r="R115" i="25"/>
  <c r="T117" i="25"/>
  <c r="O120" i="25"/>
  <c r="Q122" i="25"/>
  <c r="P129" i="25"/>
  <c r="R131" i="25"/>
  <c r="T133" i="25"/>
  <c r="O136" i="25"/>
  <c r="Q138" i="25"/>
  <c r="P145" i="25"/>
  <c r="R147" i="25"/>
  <c r="T149" i="25"/>
  <c r="O152" i="25"/>
  <c r="Q154" i="25"/>
  <c r="U220" i="25"/>
  <c r="D428" i="25"/>
  <c r="D429" i="25" s="1"/>
  <c r="D426" i="25" s="1"/>
  <c r="X498" i="25"/>
  <c r="L498" i="25" s="1"/>
  <c r="T498" i="25" s="1"/>
  <c r="Q507" i="25" s="1"/>
  <c r="V500" i="25"/>
  <c r="J500" i="25" s="1"/>
  <c r="R500" i="25" s="1"/>
  <c r="R138" i="25"/>
  <c r="F342" i="25"/>
  <c r="S138" i="25"/>
  <c r="P102" i="25"/>
  <c r="R104" i="25"/>
  <c r="T106" i="25"/>
  <c r="O109" i="25"/>
  <c r="Q111" i="25"/>
  <c r="S113" i="25"/>
  <c r="P118" i="25"/>
  <c r="R120" i="25"/>
  <c r="T122" i="25"/>
  <c r="O125" i="25"/>
  <c r="Q127" i="25"/>
  <c r="S129" i="25"/>
  <c r="P134" i="25"/>
  <c r="R136" i="25"/>
  <c r="T138" i="25"/>
  <c r="O141" i="25"/>
  <c r="Q143" i="25"/>
  <c r="S145" i="25"/>
  <c r="P150" i="25"/>
  <c r="R152" i="25"/>
  <c r="T154" i="25"/>
  <c r="O157" i="25"/>
  <c r="Q159" i="25"/>
  <c r="W213" i="25"/>
  <c r="H213" i="25" s="1"/>
  <c r="U215" i="25"/>
  <c r="U254" i="25"/>
  <c r="A256" i="25"/>
  <c r="W502" i="25"/>
  <c r="K502" i="25" s="1"/>
  <c r="S502" i="25" s="1"/>
  <c r="Q145" i="25"/>
  <c r="U213" i="25"/>
  <c r="V220" i="25"/>
  <c r="O102" i="25"/>
  <c r="Q104" i="25"/>
  <c r="S106" i="25"/>
  <c r="P111" i="25"/>
  <c r="R113" i="25"/>
  <c r="T115" i="25"/>
  <c r="O118" i="25"/>
  <c r="Q120" i="25"/>
  <c r="S122" i="25"/>
  <c r="P127" i="25"/>
  <c r="R129" i="25"/>
  <c r="T131" i="25"/>
  <c r="O134" i="25"/>
  <c r="Q136" i="25"/>
  <c r="P143" i="25"/>
  <c r="R145" i="25"/>
  <c r="T147" i="25"/>
  <c r="O150" i="25"/>
  <c r="Q152" i="25"/>
  <c r="S154" i="25"/>
  <c r="P159" i="25"/>
  <c r="H217" i="25"/>
  <c r="Q102" i="25"/>
  <c r="S104" i="25"/>
  <c r="P109" i="25"/>
  <c r="R111" i="25"/>
  <c r="T113" i="25"/>
  <c r="E165" i="25" s="1"/>
  <c r="Q118" i="25"/>
  <c r="S120" i="25"/>
  <c r="P125" i="25"/>
  <c r="R127" i="25"/>
  <c r="T129" i="25"/>
  <c r="Q134" i="25"/>
  <c r="S136" i="25"/>
  <c r="P141" i="25"/>
  <c r="R143" i="25"/>
  <c r="Q150" i="25"/>
  <c r="S152" i="25"/>
  <c r="P157" i="25"/>
  <c r="R159" i="25"/>
  <c r="U257" i="25"/>
  <c r="A259" i="25"/>
  <c r="E441" i="25"/>
  <c r="X502" i="25"/>
  <c r="L502" i="25" s="1"/>
  <c r="T502" i="25" s="1"/>
  <c r="V504" i="25"/>
  <c r="J504" i="25" s="1"/>
  <c r="R504" i="25" s="1"/>
  <c r="R106" i="25"/>
  <c r="R118" i="25"/>
  <c r="Q125" i="25"/>
  <c r="S127" i="25"/>
  <c r="R134" i="25"/>
  <c r="Q141" i="25"/>
  <c r="S143" i="25"/>
  <c r="R150" i="25"/>
  <c r="Q157" i="25"/>
  <c r="S159" i="25"/>
  <c r="W215" i="25"/>
  <c r="H215" i="25" s="1"/>
  <c r="U217" i="25"/>
  <c r="P131" i="25"/>
  <c r="P147" i="25"/>
  <c r="V252" i="25"/>
  <c r="S115" i="25"/>
  <c r="R122" i="25"/>
  <c r="S131" i="25"/>
  <c r="S147" i="25"/>
  <c r="R154" i="25"/>
  <c r="R102" i="25"/>
  <c r="Q109" i="25"/>
  <c r="S111" i="25"/>
  <c r="S102" i="25"/>
  <c r="O114" i="25"/>
  <c r="S118" i="25"/>
  <c r="O130" i="25"/>
  <c r="S134" i="25"/>
  <c r="O146" i="25"/>
  <c r="S150" i="25"/>
  <c r="X504" i="25"/>
  <c r="L504" i="25" s="1"/>
  <c r="T504" i="25" s="1"/>
  <c r="V506" i="25"/>
  <c r="J506" i="25" s="1"/>
  <c r="R506" i="25" s="1"/>
  <c r="E492" i="25"/>
  <c r="V499" i="25"/>
  <c r="J499" i="25" s="1"/>
  <c r="R499" i="25" s="1"/>
  <c r="W506" i="25"/>
  <c r="K506" i="25" s="1"/>
  <c r="S506" i="25" s="1"/>
  <c r="O103" i="25"/>
  <c r="P112" i="25"/>
  <c r="O119" i="25"/>
  <c r="P128" i="25"/>
  <c r="O135" i="25"/>
  <c r="P144" i="25"/>
  <c r="O151" i="25"/>
  <c r="P160" i="25"/>
  <c r="A258" i="25"/>
  <c r="G356" i="25"/>
  <c r="P119" i="25"/>
  <c r="P151" i="25"/>
  <c r="P103" i="25"/>
  <c r="P135" i="25"/>
  <c r="U479" i="23"/>
  <c r="D486" i="23"/>
  <c r="D513" i="23"/>
  <c r="U455" i="23"/>
  <c r="D461" i="23"/>
  <c r="D484" i="23"/>
  <c r="D485" i="23" s="1"/>
  <c r="R119" i="23"/>
  <c r="R135" i="23"/>
  <c r="S144" i="23"/>
  <c r="S160" i="23"/>
  <c r="R103" i="23"/>
  <c r="S112" i="23"/>
  <c r="S128" i="23"/>
  <c r="R151" i="23"/>
  <c r="W214" i="23"/>
  <c r="H214" i="23" s="1"/>
  <c r="U216" i="23"/>
  <c r="Q101" i="23"/>
  <c r="S103" i="23"/>
  <c r="R110" i="23"/>
  <c r="T112" i="23"/>
  <c r="E164" i="23" s="1"/>
  <c r="O115" i="23"/>
  <c r="Q117" i="23"/>
  <c r="D164" i="23" s="1"/>
  <c r="S119" i="23"/>
  <c r="R126" i="23"/>
  <c r="T128" i="23"/>
  <c r="E165" i="23" s="1"/>
  <c r="O131" i="23"/>
  <c r="Q133" i="23"/>
  <c r="S135" i="23"/>
  <c r="R142" i="23"/>
  <c r="T144" i="23"/>
  <c r="O147" i="23"/>
  <c r="Q149" i="23"/>
  <c r="S151" i="23"/>
  <c r="R158" i="23"/>
  <c r="T160" i="23"/>
  <c r="V216" i="23"/>
  <c r="H220" i="23"/>
  <c r="A254" i="23"/>
  <c r="F338" i="23"/>
  <c r="F343" i="23" s="1"/>
  <c r="X503" i="23"/>
  <c r="L503" i="23" s="1"/>
  <c r="T503" i="23" s="1"/>
  <c r="V505" i="23"/>
  <c r="J505" i="23" s="1"/>
  <c r="R505" i="23" s="1"/>
  <c r="D427" i="23"/>
  <c r="D429" i="23" s="1"/>
  <c r="D426" i="23" s="1"/>
  <c r="O113" i="23"/>
  <c r="Q115" i="23"/>
  <c r="O129" i="23"/>
  <c r="Q131" i="23"/>
  <c r="S133" i="23"/>
  <c r="O145" i="23"/>
  <c r="Q147" i="23"/>
  <c r="S149" i="23"/>
  <c r="V218" i="23"/>
  <c r="H254" i="23"/>
  <c r="U258" i="23"/>
  <c r="I427" i="23"/>
  <c r="I429" i="23" s="1"/>
  <c r="I426" i="23" s="1"/>
  <c r="X505" i="23"/>
  <c r="L505" i="23" s="1"/>
  <c r="T505" i="23" s="1"/>
  <c r="X498" i="23"/>
  <c r="L498" i="23" s="1"/>
  <c r="T498" i="23" s="1"/>
  <c r="V500" i="23"/>
  <c r="J500" i="23" s="1"/>
  <c r="R500" i="23" s="1"/>
  <c r="P104" i="23"/>
  <c r="O111" i="23"/>
  <c r="Q113" i="23"/>
  <c r="S115" i="23"/>
  <c r="P120" i="23"/>
  <c r="O127" i="23"/>
  <c r="Q129" i="23"/>
  <c r="S131" i="23"/>
  <c r="P136" i="23"/>
  <c r="O143" i="23"/>
  <c r="Q145" i="23"/>
  <c r="S147" i="23"/>
  <c r="P152" i="23"/>
  <c r="O159" i="23"/>
  <c r="F342" i="23"/>
  <c r="W500" i="23"/>
  <c r="K500" i="23" s="1"/>
  <c r="S500" i="23" s="1"/>
  <c r="E342" i="23"/>
  <c r="P111" i="23"/>
  <c r="R113" i="23"/>
  <c r="R129" i="23"/>
  <c r="P143" i="23"/>
  <c r="R145" i="23"/>
  <c r="P159" i="23"/>
  <c r="G342" i="23"/>
  <c r="X500" i="23"/>
  <c r="L500" i="23" s="1"/>
  <c r="T500" i="23" s="1"/>
  <c r="Q507" i="23" s="1"/>
  <c r="V502" i="23"/>
  <c r="J502" i="23" s="1"/>
  <c r="R502" i="23" s="1"/>
  <c r="P102" i="23"/>
  <c r="R104" i="23"/>
  <c r="O109" i="23"/>
  <c r="Q111" i="23"/>
  <c r="S113" i="23"/>
  <c r="P118" i="23"/>
  <c r="R120" i="23"/>
  <c r="O125" i="23"/>
  <c r="Q127" i="23"/>
  <c r="S129" i="23"/>
  <c r="P134" i="23"/>
  <c r="R136" i="23"/>
  <c r="O141" i="23"/>
  <c r="Q143" i="23"/>
  <c r="S145" i="23"/>
  <c r="P150" i="23"/>
  <c r="R152" i="23"/>
  <c r="O157" i="23"/>
  <c r="Q159" i="23"/>
  <c r="U215" i="23"/>
  <c r="U254" i="23"/>
  <c r="A256" i="23"/>
  <c r="D343" i="23"/>
  <c r="W502" i="23"/>
  <c r="K502" i="23" s="1"/>
  <c r="S502" i="23" s="1"/>
  <c r="Q104" i="23"/>
  <c r="S104" i="23"/>
  <c r="S120" i="23"/>
  <c r="R127" i="23"/>
  <c r="R143" i="23"/>
  <c r="P113" i="23"/>
  <c r="P129" i="23"/>
  <c r="P127" i="23"/>
  <c r="R102" i="23"/>
  <c r="O107" i="23"/>
  <c r="Q109" i="23"/>
  <c r="S111" i="23"/>
  <c r="P116" i="23"/>
  <c r="R118" i="23"/>
  <c r="O123" i="23"/>
  <c r="Q125" i="23"/>
  <c r="S127" i="23"/>
  <c r="P132" i="23"/>
  <c r="R134" i="23"/>
  <c r="T136" i="23"/>
  <c r="O139" i="23"/>
  <c r="Q141" i="23"/>
  <c r="S143" i="23"/>
  <c r="P148" i="23"/>
  <c r="R150" i="23"/>
  <c r="T152" i="23"/>
  <c r="O155" i="23"/>
  <c r="Q157" i="23"/>
  <c r="S159" i="23"/>
  <c r="W215" i="23"/>
  <c r="H215" i="23" s="1"/>
  <c r="U217" i="23"/>
  <c r="H256" i="23"/>
  <c r="P145" i="23"/>
  <c r="P109" i="23"/>
  <c r="R111" i="23"/>
  <c r="P125" i="23"/>
  <c r="P141" i="23"/>
  <c r="P157" i="23"/>
  <c r="R159" i="23"/>
  <c r="E441" i="23"/>
  <c r="P107" i="23"/>
  <c r="P123" i="23"/>
  <c r="P139" i="23"/>
  <c r="P155" i="23"/>
  <c r="V506" i="23"/>
  <c r="J506" i="23" s="1"/>
  <c r="R506" i="23" s="1"/>
  <c r="E492" i="23"/>
  <c r="O103" i="23"/>
  <c r="P112" i="23"/>
  <c r="O119" i="23"/>
  <c r="P128" i="23"/>
  <c r="O135" i="23"/>
  <c r="P144" i="23"/>
  <c r="O151" i="23"/>
  <c r="P160" i="23"/>
  <c r="V253" i="23"/>
  <c r="U256" i="23"/>
  <c r="A258" i="23"/>
  <c r="G356" i="23"/>
  <c r="O112" i="23"/>
  <c r="O160" i="23"/>
  <c r="Q144" i="23"/>
  <c r="O128" i="23"/>
  <c r="O144" i="23"/>
  <c r="P103" i="23"/>
  <c r="Q112" i="23"/>
  <c r="P119" i="23"/>
  <c r="Q128" i="23"/>
  <c r="P135" i="23"/>
  <c r="P151" i="23"/>
  <c r="Q160" i="23"/>
  <c r="G357" i="23"/>
  <c r="G358" i="23" s="1"/>
  <c r="D165" i="25" l="1"/>
  <c r="D164" i="25"/>
  <c r="J163" i="25"/>
  <c r="J164" i="25" s="1"/>
  <c r="D517" i="25"/>
  <c r="Q508" i="25"/>
  <c r="F362" i="25"/>
  <c r="F366" i="25" s="1"/>
  <c r="D362" i="25"/>
  <c r="D366" i="25" s="1"/>
  <c r="E362" i="25"/>
  <c r="E366" i="25" s="1"/>
  <c r="F363" i="25"/>
  <c r="F367" i="25" s="1"/>
  <c r="G363" i="25"/>
  <c r="G367" i="25" s="1"/>
  <c r="E363" i="25"/>
  <c r="E367" i="25" s="1"/>
  <c r="D363" i="25"/>
  <c r="D367" i="25" s="1"/>
  <c r="G362" i="25"/>
  <c r="G366" i="25" s="1"/>
  <c r="E164" i="25"/>
  <c r="D517" i="23"/>
  <c r="Q508" i="23"/>
  <c r="J163" i="23"/>
  <c r="J164" i="23" s="1"/>
  <c r="D165" i="23"/>
  <c r="G363" i="23"/>
  <c r="G367" i="23" s="1"/>
  <c r="F363" i="23"/>
  <c r="F367" i="23" s="1"/>
  <c r="D363" i="23"/>
  <c r="D367" i="23" s="1"/>
  <c r="E363" i="23"/>
  <c r="E367" i="23" s="1"/>
  <c r="G362" i="23"/>
  <c r="G366" i="23" s="1"/>
  <c r="F362" i="23"/>
  <c r="F366" i="23" s="1"/>
  <c r="E362" i="23"/>
  <c r="E366" i="23" s="1"/>
  <c r="D362" i="23"/>
  <c r="D366" i="23" s="1"/>
  <c r="Q36" i="13" l="1"/>
  <c r="Q35" i="13"/>
  <c r="Q34" i="13"/>
  <c r="N40" i="13"/>
  <c r="N39" i="13"/>
  <c r="O35" i="13"/>
  <c r="O36" i="13"/>
  <c r="O34" i="13"/>
  <c r="N38" i="13"/>
  <c r="N35" i="13"/>
  <c r="N36" i="13"/>
  <c r="N34" i="13"/>
  <c r="M35" i="13"/>
  <c r="M36" i="13"/>
  <c r="M34" i="13"/>
  <c r="L34" i="13"/>
  <c r="L35" i="13"/>
  <c r="L36" i="13"/>
  <c r="L33" i="13"/>
  <c r="K34" i="13"/>
  <c r="K35" i="13"/>
  <c r="K36" i="13"/>
  <c r="K33" i="13"/>
  <c r="J33" i="13"/>
  <c r="J34" i="13"/>
  <c r="J35" i="13"/>
  <c r="J36" i="13"/>
  <c r="I35" i="13"/>
  <c r="I36" i="13"/>
  <c r="I34" i="13"/>
  <c r="G36" i="13"/>
  <c r="G35" i="13"/>
  <c r="G34" i="13"/>
  <c r="G28" i="13"/>
  <c r="R3" i="13"/>
  <c r="S3" i="13"/>
  <c r="R4" i="13"/>
  <c r="S4" i="13"/>
  <c r="R5" i="13"/>
  <c r="S5" i="13"/>
  <c r="R6" i="13"/>
  <c r="S6" i="13"/>
  <c r="R7" i="13"/>
  <c r="S7" i="13"/>
  <c r="R8" i="13"/>
  <c r="S8" i="13"/>
  <c r="R9" i="13"/>
  <c r="S9" i="13"/>
  <c r="R10" i="13"/>
  <c r="S10" i="13"/>
  <c r="R11" i="13"/>
  <c r="S11" i="13"/>
  <c r="R12" i="13"/>
  <c r="S12" i="13"/>
  <c r="R13" i="13"/>
  <c r="S13" i="13"/>
  <c r="R14" i="13"/>
  <c r="S14" i="13"/>
  <c r="R15" i="13"/>
  <c r="S15" i="13"/>
  <c r="R16" i="13"/>
  <c r="S16" i="13"/>
  <c r="R17" i="13"/>
  <c r="S17" i="13"/>
  <c r="R18" i="13"/>
  <c r="S18" i="13"/>
  <c r="R19" i="13"/>
  <c r="S19" i="13"/>
  <c r="R20" i="13"/>
  <c r="S20" i="13"/>
  <c r="R21" i="13"/>
  <c r="S21" i="13"/>
  <c r="S2" i="13"/>
  <c r="R2" i="13"/>
  <c r="I25" i="13"/>
  <c r="G25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" i="13"/>
  <c r="I23" i="13"/>
  <c r="G23" i="13"/>
  <c r="G24" i="13" s="1"/>
  <c r="G26" i="13" s="1"/>
  <c r="M4" i="13"/>
  <c r="O4" i="13" s="1"/>
  <c r="M5" i="13"/>
  <c r="O5" i="13" s="1"/>
  <c r="L3" i="13"/>
  <c r="L4" i="13"/>
  <c r="L5" i="13"/>
  <c r="L6" i="13"/>
  <c r="M6" i="13" s="1"/>
  <c r="O6" i="13" s="1"/>
  <c r="L7" i="13"/>
  <c r="M7" i="13" s="1"/>
  <c r="O7" i="13" s="1"/>
  <c r="L8" i="13"/>
  <c r="M8" i="13" s="1"/>
  <c r="O8" i="13" s="1"/>
  <c r="L9" i="13"/>
  <c r="L10" i="13"/>
  <c r="L11" i="13"/>
  <c r="M11" i="13" s="1"/>
  <c r="O11" i="13" s="1"/>
  <c r="L12" i="13"/>
  <c r="M12" i="13" s="1"/>
  <c r="O12" i="13" s="1"/>
  <c r="L13" i="13"/>
  <c r="M13" i="13" s="1"/>
  <c r="O13" i="13" s="1"/>
  <c r="L14" i="13"/>
  <c r="L15" i="13"/>
  <c r="L16" i="13"/>
  <c r="L17" i="13"/>
  <c r="L18" i="13"/>
  <c r="L19" i="13"/>
  <c r="L20" i="13"/>
  <c r="M20" i="13" s="1"/>
  <c r="O20" i="13" s="1"/>
  <c r="L21" i="13"/>
  <c r="M21" i="13" s="1"/>
  <c r="O21" i="13" s="1"/>
  <c r="L2" i="13"/>
  <c r="O24" i="13" s="1"/>
  <c r="Q26" i="13"/>
  <c r="U7" i="13" s="1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" i="13"/>
  <c r="K5" i="10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H3" i="1"/>
  <c r="G3" i="1"/>
  <c r="M14" i="13" l="1"/>
  <c r="O14" i="13" s="1"/>
  <c r="M10" i="13"/>
  <c r="O10" i="13" s="1"/>
  <c r="I24" i="13"/>
  <c r="I26" i="13" s="1"/>
  <c r="J26" i="13" s="1"/>
  <c r="M9" i="13"/>
  <c r="O9" i="13" s="1"/>
  <c r="M3" i="13"/>
  <c r="O3" i="13" s="1"/>
  <c r="M2" i="13"/>
  <c r="O2" i="13" s="1"/>
  <c r="M17" i="13"/>
  <c r="O17" i="13" s="1"/>
  <c r="M16" i="13"/>
  <c r="O16" i="13" s="1"/>
  <c r="M19" i="13"/>
  <c r="O19" i="13" s="1"/>
  <c r="M18" i="13"/>
  <c r="O18" i="13" s="1"/>
  <c r="M15" i="13"/>
  <c r="O15" i="13" s="1"/>
  <c r="T10" i="13"/>
  <c r="T9" i="13"/>
  <c r="T8" i="13"/>
  <c r="U19" i="13"/>
  <c r="W18" i="13"/>
  <c r="V18" i="13"/>
  <c r="W13" i="13"/>
  <c r="V13" i="13"/>
  <c r="U13" i="13"/>
  <c r="V8" i="13"/>
  <c r="U8" i="13"/>
  <c r="W7" i="13"/>
  <c r="U3" i="13"/>
  <c r="W2" i="13"/>
  <c r="Q24" i="13"/>
  <c r="V2" i="13"/>
  <c r="Q23" i="13"/>
  <c r="T7" i="13"/>
  <c r="U18" i="13"/>
  <c r="W12" i="13"/>
  <c r="V7" i="13"/>
  <c r="U2" i="13"/>
  <c r="T21" i="13"/>
  <c r="T5" i="13"/>
  <c r="V17" i="13"/>
  <c r="U12" i="13"/>
  <c r="W6" i="13"/>
  <c r="T20" i="13"/>
  <c r="T4" i="13"/>
  <c r="U17" i="13"/>
  <c r="W11" i="13"/>
  <c r="V6" i="13"/>
  <c r="T19" i="13"/>
  <c r="T3" i="13"/>
  <c r="W16" i="13"/>
  <c r="V11" i="13"/>
  <c r="U6" i="13"/>
  <c r="T18" i="13"/>
  <c r="W21" i="13"/>
  <c r="V16" i="13"/>
  <c r="U11" i="13"/>
  <c r="W5" i="13"/>
  <c r="T17" i="13"/>
  <c r="V21" i="13"/>
  <c r="U16" i="13"/>
  <c r="W10" i="13"/>
  <c r="V5" i="13"/>
  <c r="T16" i="13"/>
  <c r="U21" i="13"/>
  <c r="W15" i="13"/>
  <c r="V10" i="13"/>
  <c r="U5" i="13"/>
  <c r="T15" i="13"/>
  <c r="W20" i="13"/>
  <c r="V15" i="13"/>
  <c r="U10" i="13"/>
  <c r="W4" i="13"/>
  <c r="T14" i="13"/>
  <c r="V20" i="13"/>
  <c r="U15" i="13"/>
  <c r="W9" i="13"/>
  <c r="V4" i="13"/>
  <c r="T13" i="13"/>
  <c r="U20" i="13"/>
  <c r="W14" i="13"/>
  <c r="V9" i="13"/>
  <c r="U4" i="13"/>
  <c r="T12" i="13"/>
  <c r="W19" i="13"/>
  <c r="V14" i="13"/>
  <c r="U9" i="13"/>
  <c r="W3" i="13"/>
  <c r="T11" i="13"/>
  <c r="V19" i="13"/>
  <c r="U14" i="13"/>
  <c r="W8" i="13"/>
  <c r="V3" i="13"/>
  <c r="T2" i="13"/>
  <c r="T6" i="13"/>
  <c r="W17" i="13"/>
  <c r="V12" i="13"/>
  <c r="O23" i="13" l="1"/>
  <c r="J28" i="13"/>
  <c r="T24" i="13"/>
  <c r="T23" i="13"/>
  <c r="M29" i="13" l="1"/>
  <c r="M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D882E7D5-5561-4B56-9562-BA814FD4A7C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E5EDA4A7-33A7-4152-837B-3D806F5B2076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8A3ED92A-3722-47F5-A153-BC48592050E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2046901-C819-4186-9890-BC553164007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1D1B903B-CCE4-4D7D-9FA4-E0D4A2E1D6F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CEFDF615-6939-40F6-8B79-8A47A7FC165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9C0073C-4836-4CC4-ABD9-277A6DBB9D3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8E0335DA-D0C6-4214-8A43-65FB5F5E091E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<sst xmlns="http://schemas.openxmlformats.org/spreadsheetml/2006/main" count="2448" uniqueCount="561">
  <si>
    <t>Reference Method</t>
  </si>
  <si>
    <t>Proposed Method</t>
  </si>
  <si>
    <t>Sample ID</t>
  </si>
  <si>
    <t>1st rep</t>
  </si>
  <si>
    <t>2nd rep</t>
  </si>
  <si>
    <t>X</t>
  </si>
  <si>
    <t>Y</t>
  </si>
  <si>
    <t>Equation </t>
  </si>
  <si>
    <t>Y = 57.23 + 0.9988 X</t>
  </si>
  <si>
    <t>Parameter </t>
  </si>
  <si>
    <t>Estimate</t>
  </si>
  <si>
    <t>Bootstrap 95% CI</t>
  </si>
  <si>
    <t>Intercept</t>
  </si>
  <si>
    <t>Slope</t>
  </si>
  <si>
    <t>Passing-Bablok - Analyse It</t>
  </si>
  <si>
    <t>Weighted Deming fit</t>
  </si>
  <si>
    <t>Y = 80.39 + 0.9949 X</t>
  </si>
  <si>
    <t>Variance ratio X/Y (λ) </t>
  </si>
  <si>
    <t>95% CI</t>
  </si>
  <si>
    <t>Jackknife SE</t>
  </si>
  <si>
    <t>Weighted Deming fit - Analyse It</t>
  </si>
  <si>
    <t>y</t>
  </si>
  <si>
    <t>x</t>
  </si>
  <si>
    <t>Passing-Bablok - mcr</t>
  </si>
  <si>
    <t>SE</t>
  </si>
  <si>
    <t>LCI</t>
  </si>
  <si>
    <t>UCI</t>
  </si>
  <si>
    <t>Weighted Deming - mcr</t>
  </si>
  <si>
    <t>NaN</t>
  </si>
  <si>
    <t>y = -0.4658 + 0.9941 x</t>
  </si>
  <si>
    <t>Passing-Bablok fit - Analyse It</t>
  </si>
  <si>
    <t>y = 1.148 + 0.9869 x</t>
  </si>
  <si>
    <t>WEIGHTED DEMING REGRESSION FIT:</t>
  </si>
  <si>
    <t xml:space="preserve">Intercept   </t>
  </si>
  <si>
    <t xml:space="preserve">Slope         </t>
  </si>
  <si>
    <t>Variance ratio</t>
  </si>
  <si>
    <t>y = 1.171 + 0.9869 x</t>
  </si>
  <si>
    <t>Attribute</t>
  </si>
  <si>
    <t>Range Address</t>
  </si>
  <si>
    <t>Description</t>
  </si>
  <si>
    <t>aps-abs</t>
  </si>
  <si>
    <t>J4</t>
  </si>
  <si>
    <t>aps-rel</t>
  </si>
  <si>
    <t>J6</t>
  </si>
  <si>
    <t>x-range</t>
  </si>
  <si>
    <t>O61:P160</t>
  </si>
  <si>
    <t>Results from the reference method</t>
  </si>
  <si>
    <t>y-range</t>
  </si>
  <si>
    <t>R61:S160</t>
  </si>
  <si>
    <t>Results from the comparison (new) method</t>
  </si>
  <si>
    <t>output-range</t>
  </si>
  <si>
    <t>C167</t>
  </si>
  <si>
    <t>Top left cell for writing the results of the regression analysis</t>
  </si>
  <si>
    <t>regression-method</t>
  </si>
  <si>
    <t>paba</t>
  </si>
  <si>
    <t>Default regression method. May be paba, deming, wdeming only.</t>
  </si>
  <si>
    <t>confidence-interval-method</t>
  </si>
  <si>
    <t>default</t>
  </si>
  <si>
    <t xml:space="preserve">Method for determining confidence interval. May be default or bootstrap only. </t>
  </si>
  <si>
    <t>use-calculated-error-ratio</t>
  </si>
  <si>
    <t>Only relevant for Deming or Weighted Deming regression. May be TRUE or FALSE</t>
  </si>
  <si>
    <t>error-ratio</t>
  </si>
  <si>
    <t>Error ratio to be used by Deming or Weighted Deming regression</t>
  </si>
  <si>
    <t>bland-altman-range</t>
  </si>
  <si>
    <t>N162:U175</t>
  </si>
  <si>
    <t>Range of cells over which the difference plot is placed</t>
  </si>
  <si>
    <t>scatter-plot-range</t>
  </si>
  <si>
    <t>N177:U190</t>
  </si>
  <si>
    <t>Range of cells over which the scatter plot is placed</t>
  </si>
  <si>
    <t>output-labels</t>
  </si>
  <si>
    <t>Whether to write the regression results with labels. May by TRUE or FALSE</t>
  </si>
  <si>
    <t>chart-data-range</t>
  </si>
  <si>
    <t>AP61</t>
  </si>
  <si>
    <t>Top left cell for writing data used to construct the chart. This should be some place out of the way.</t>
  </si>
  <si>
    <t>p-days-range</t>
  </si>
  <si>
    <t>B295:B319</t>
  </si>
  <si>
    <t>Range of cells containing the days attribute. Do not include the column header</t>
  </si>
  <si>
    <t>p-runs-range</t>
  </si>
  <si>
    <t>C295:C319</t>
  </si>
  <si>
    <t>Range of cells containing the runs attribute. Do not include the column header</t>
  </si>
  <si>
    <t>p-results-range</t>
  </si>
  <si>
    <t>D295:G319</t>
  </si>
  <si>
    <t>Range of cells containing the results of the precision study. Each level must be in a separate column</t>
  </si>
  <si>
    <t>p-output-range</t>
  </si>
  <si>
    <t>AD294</t>
  </si>
  <si>
    <t>Top left cell for writing the results of the imprecision analysis.</t>
  </si>
  <si>
    <t>import-aps</t>
  </si>
  <si>
    <t>Import APS values from spreadsheet</t>
  </si>
  <si>
    <t>Absolute APS specification or cell address</t>
  </si>
  <si>
    <t>Relative APS specification or cell address</t>
  </si>
  <si>
    <t>Imprecision Claim</t>
  </si>
  <si>
    <t>Level 1</t>
  </si>
  <si>
    <t>Level 2</t>
  </si>
  <si>
    <t>Level 3</t>
  </si>
  <si>
    <t>Level 4</t>
  </si>
  <si>
    <t>Mean</t>
  </si>
  <si>
    <t>Repeatability CV</t>
  </si>
  <si>
    <t>Within lab CV</t>
  </si>
  <si>
    <t>Day</t>
  </si>
  <si>
    <t>Run</t>
  </si>
  <si>
    <t>Day 1</t>
  </si>
  <si>
    <t>Run 1</t>
  </si>
  <si>
    <t>Day 2</t>
  </si>
  <si>
    <t>Day 3</t>
  </si>
  <si>
    <t>Day 4</t>
  </si>
  <si>
    <t>Day 5</t>
  </si>
  <si>
    <t>Run 2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</si>
  <si>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</si>
  <si>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</si>
  <si>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</si>
  <si>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</si>
  <si>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</si>
  <si>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</si>
  <si>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</si>
  <si>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</si>
  <si>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</si>
  <si>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</si>
  <si>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</si>
  <si>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</si>
  <si>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</si>
  <si>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</si>
  <si>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</si>
  <si>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SST</t>
  </si>
  <si>
    <t>SSA</t>
  </si>
  <si>
    <t>SSB</t>
  </si>
  <si>
    <t>SSE</t>
  </si>
  <si>
    <t>SSAB</t>
  </si>
  <si>
    <t>DF T</t>
  </si>
  <si>
    <t>DF A</t>
  </si>
  <si>
    <t>DF B</t>
  </si>
  <si>
    <t>DF AB</t>
  </si>
  <si>
    <t>DF E</t>
  </si>
  <si>
    <t>MSA</t>
  </si>
  <si>
    <t>MSB</t>
  </si>
  <si>
    <t>MSAB</t>
  </si>
  <si>
    <t>MSE</t>
  </si>
  <si>
    <t>F AB</t>
  </si>
  <si>
    <t>F A</t>
  </si>
  <si>
    <t>F B</t>
  </si>
  <si>
    <t>N</t>
  </si>
  <si>
    <t>Num A</t>
  </si>
  <si>
    <t>Num B</t>
  </si>
  <si>
    <t>Num E</t>
  </si>
  <si>
    <t>Var A</t>
  </si>
  <si>
    <t>Var AB</t>
  </si>
  <si>
    <t>Var E</t>
  </si>
  <si>
    <t>SD A</t>
  </si>
  <si>
    <t>SD AB</t>
  </si>
  <si>
    <t>SD E</t>
  </si>
  <si>
    <t>SD WL</t>
  </si>
  <si>
    <t>CV A</t>
  </si>
  <si>
    <t>CV AB</t>
  </si>
  <si>
    <t>CV E</t>
  </si>
  <si>
    <t>CV WL</t>
  </si>
  <si>
    <t>DF WL</t>
  </si>
  <si>
    <t>SD WL LCL</t>
  </si>
  <si>
    <t>SD WL UCL</t>
  </si>
  <si>
    <t>SD E LCL</t>
  </si>
  <si>
    <t>SD E UCL</t>
  </si>
  <si>
    <t>CV WL LCL</t>
  </si>
  <si>
    <t>CV WL UCL</t>
  </si>
  <si>
    <t>CV E LCL</t>
  </si>
  <si>
    <t>CV E UCL</t>
  </si>
  <si>
    <t>Simulation</t>
  </si>
  <si>
    <t>Repeatability</t>
  </si>
  <si>
    <t>Between run</t>
  </si>
  <si>
    <t>Between day</t>
  </si>
  <si>
    <t>Total</t>
  </si>
  <si>
    <t>v5.92</t>
  </si>
  <si>
    <t>20x2x2 A1:C81</t>
  </si>
  <si>
    <t>Filter: No filter</t>
  </si>
  <si>
    <t>Precision</t>
  </si>
  <si>
    <t> </t>
  </si>
  <si>
    <t>Repeatability
CV</t>
  </si>
  <si>
    <t>Repeatability
SD</t>
  </si>
  <si>
    <t>Within Laboratory
CV</t>
  </si>
  <si>
    <t>Within Laboratory
SD</t>
  </si>
  <si>
    <t xml:space="preserve"> </t>
  </si>
  <si>
    <t>Component </t>
  </si>
  <si>
    <t>% of Total</t>
  </si>
  <si>
    <t>CV</t>
  </si>
  <si>
    <t>SD</t>
  </si>
  <si>
    <t>Within Laboratory</t>
  </si>
  <si>
    <t>ANOVA</t>
  </si>
  <si>
    <t>Source </t>
  </si>
  <si>
    <t>SS</t>
  </si>
  <si>
    <t>DF</t>
  </si>
  <si>
    <t>MS</t>
  </si>
  <si>
    <t>Expected MS</t>
  </si>
  <si>
    <t>Error</t>
  </si>
  <si>
    <t>σ2Error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</si>
  <si>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</si>
  <si>
    <t>Level1</t>
  </si>
  <si>
    <t>MSA: Level1</t>
  </si>
  <si>
    <t>Last updated 16 September 2025 at 16:18 by Doug Chesher</t>
  </si>
  <si>
    <t>Exact / MLS
95% CI</t>
  </si>
  <si>
    <t>Between Run</t>
  </si>
  <si>
    <t>Within Day</t>
  </si>
  <si>
    <t>Between Day</t>
  </si>
  <si>
    <t>σ2Error + 2σ2Run(Day) + 4σ2Day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</si>
  <si>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  <r>
      <rPr>
        <sz val="10"/>
        <color theme="1"/>
        <rFont val="Calibri"/>
        <family val="2"/>
        <scheme val="minor"/>
      </rPr>
      <t xml:space="preserve"> + 4σ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Day</t>
    </r>
  </si>
  <si>
    <t>Run(Day)</t>
  </si>
  <si>
    <t>σ2Error + 2σ2Run(Day)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</si>
  <si>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</si>
  <si>
    <t>Result Variance Component Analysis:</t>
  </si>
  <si>
    <t>-----------------------------------</t>
  </si>
  <si>
    <t>Mean: 100.3899 (N = 80)</t>
  </si>
  <si>
    <t>Experimental Design: balanced  |  Method: ANOVA | * VC set to 0 | adapted MS used for total DF</t>
  </si>
  <si>
    <t>Name</t>
  </si>
  <si>
    <t>VC</t>
  </si>
  <si>
    <t>Day:Run</t>
  </si>
  <si>
    <t>Devsq Error</t>
  </si>
  <si>
    <t>dfE</t>
  </si>
  <si>
    <t>dfT</t>
  </si>
  <si>
    <t>Devsq Day</t>
  </si>
  <si>
    <t>Devsq Run</t>
  </si>
  <si>
    <t>Mean Day</t>
  </si>
  <si>
    <t>Mean Run</t>
  </si>
  <si>
    <t>n</t>
  </si>
  <si>
    <t>df</t>
  </si>
  <si>
    <t>Devsq total</t>
  </si>
  <si>
    <t>dfB</t>
  </si>
  <si>
    <t>dfA</t>
  </si>
  <si>
    <t>SSB(in A)</t>
  </si>
  <si>
    <t>Unbalanced Data</t>
  </si>
  <si>
    <t>Run (in day)</t>
  </si>
  <si>
    <t>nRep</t>
  </si>
  <si>
    <t>nRun</t>
  </si>
  <si>
    <t>nDay</t>
  </si>
  <si>
    <t>k_i</t>
  </si>
  <si>
    <t>num</t>
  </si>
  <si>
    <t>den</t>
  </si>
  <si>
    <t>df_wl</t>
  </si>
  <si>
    <t>EP05_A1</t>
  </si>
  <si>
    <t>c</t>
  </si>
  <si>
    <t>Days</t>
  </si>
  <si>
    <t>Runs</t>
  </si>
  <si>
    <t>Run 3</t>
  </si>
  <si>
    <t>D</t>
  </si>
  <si>
    <t>C</t>
  </si>
  <si>
    <t>B</t>
  </si>
  <si>
    <t>A</t>
  </si>
  <si>
    <t>Overall Agreement</t>
  </si>
  <si>
    <t>Expected Agreement</t>
  </si>
  <si>
    <t>Kappa</t>
  </si>
  <si>
    <t>SE(Kappa)</t>
  </si>
  <si>
    <t>LCL</t>
  </si>
  <si>
    <t>UCL</t>
  </si>
  <si>
    <t>concordance-output</t>
  </si>
  <si>
    <t>C176</t>
  </si>
  <si>
    <t>Top left cell for writing the results of the concordance analysis</t>
  </si>
  <si>
    <t>qx-range</t>
  </si>
  <si>
    <t>E61:E160</t>
  </si>
  <si>
    <t>Qualitative results from the reference method</t>
  </si>
  <si>
    <t>qy-range</t>
  </si>
  <si>
    <t>H61:H160</t>
  </si>
  <si>
    <t>Qualitative results from the comparison (new) method</t>
  </si>
  <si>
    <t>q-output-range</t>
  </si>
  <si>
    <t>SUMMARY</t>
  </si>
  <si>
    <t>Assay</t>
  </si>
  <si>
    <t>Units</t>
  </si>
  <si>
    <t>APS Absolute</t>
  </si>
  <si>
    <t>Soluble FMS Like Tyrosine Kinase 1</t>
  </si>
  <si>
    <t>Matrix</t>
  </si>
  <si>
    <t>APS Relative</t>
  </si>
  <si>
    <t>Serum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</si>
  <si>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</si>
  <si>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</si>
  <si>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</si>
  <si>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</si>
  <si>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</si>
  <si>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</si>
  <si>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</si>
  <si>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</si>
  <si>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</si>
  <si>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</si>
  <si>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</si>
  <si>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</si>
  <si>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</si>
  <si>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</si>
  <si>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</si>
  <si>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</si>
  <si>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</si>
  <si>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</si>
  <si>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</si>
  <si>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</si>
  <si>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</si>
  <si>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Reagent Lot No.</t>
  </si>
  <si>
    <t>Calibrator Lot No.</t>
  </si>
  <si>
    <t>Operator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</si>
  <si>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</si>
  <si>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</si>
  <si>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</si>
  <si>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</si>
  <si>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</si>
  <si>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</si>
  <si>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</si>
  <si>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</si>
  <si>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</si>
  <si>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</si>
  <si>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Relative Difference</t>
  </si>
  <si>
    <t>Pearson Correlation Coefficient (R)</t>
  </si>
  <si>
    <t>Coefficient of Determination (R^2)</t>
  </si>
  <si>
    <t>Passing-Bablock Regression</t>
  </si>
  <si>
    <t>Bootstrap CI</t>
  </si>
  <si>
    <t>Coefficents</t>
  </si>
  <si>
    <t>Concordance</t>
  </si>
  <si>
    <t>n x n concordance table</t>
  </si>
  <si>
    <t>&lt;2000</t>
  </si>
  <si>
    <t>≥2000-&lt;4000</t>
  </si>
  <si>
    <t>≥4000-&lt;6000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</si>
  <si>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</si>
  <si>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</si>
  <si>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</si>
  <si>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</si>
  <si>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</si>
  <si>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</si>
  <si>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</si>
  <si>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</si>
  <si>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</si>
  <si>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</si>
  <si>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</si>
  <si>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</si>
  <si>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</si>
  <si>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</si>
  <si>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</si>
  <si>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</si>
  <si>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</si>
  <si>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</si>
  <si>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</si>
  <si>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</si>
  <si>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</si>
  <si>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</si>
  <si>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</si>
  <si>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</si>
  <si>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</si>
  <si>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</si>
  <si>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</si>
  <si>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</si>
  <si>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</si>
  <si>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</si>
  <si>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</si>
  <si>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</si>
  <si>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</si>
  <si>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</si>
  <si>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</si>
  <si>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</si>
  <si>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</si>
  <si>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</si>
  <si>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</si>
  <si>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</si>
  <si>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</si>
  <si>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</si>
  <si>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</si>
  <si>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</si>
  <si>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</si>
  <si>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</si>
  <si>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</si>
  <si>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</si>
  <si>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</si>
  <si>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</si>
  <si>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</si>
  <si>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</si>
  <si>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</si>
  <si>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</si>
  <si>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</si>
  <si>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</si>
  <si>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</si>
  <si>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</si>
  <si>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t>Claimed Imprecision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</si>
  <si>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</si>
  <si>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SS Total</t>
  </si>
  <si>
    <t>DF Total</t>
  </si>
  <si>
    <t>DF Error</t>
  </si>
  <si>
    <t>MST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</si>
  <si>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</si>
  <si>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</si>
  <si>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</si>
  <si>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</si>
  <si>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</si>
  <si>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</si>
  <si>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</si>
  <si>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</si>
  <si>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</si>
  <si>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ChiSq E</t>
  </si>
  <si>
    <t>ChiSq WL</t>
  </si>
  <si>
    <t>F Error</t>
  </si>
  <si>
    <t>F WL</t>
  </si>
  <si>
    <t>Within lab</t>
  </si>
  <si>
    <t>Between day CV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</si>
  <si>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</si>
  <si>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</si>
  <si>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</si>
  <si>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</si>
  <si>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</si>
  <si>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</si>
  <si>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</si>
  <si>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</si>
  <si>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</si>
  <si>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</si>
  <si>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</si>
  <si>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</si>
  <si>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</si>
  <si>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</si>
  <si>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</si>
  <si>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Desirable</t>
  </si>
  <si>
    <t>alpha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</si>
  <si>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</si>
  <si>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</si>
  <si>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</si>
  <si>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</si>
  <si>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</si>
  <si>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</si>
  <si>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</si>
  <si>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</si>
  <si>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</si>
  <si>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</si>
  <si>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</si>
  <si>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</si>
  <si>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</si>
  <si>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</si>
  <si>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</si>
  <si>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</si>
  <si>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</si>
  <si>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</si>
  <si>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</si>
  <si>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</si>
  <si>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</si>
  <si>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</si>
  <si>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</si>
  <si>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</si>
  <si>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</si>
  <si>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</si>
  <si>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</si>
  <si>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</si>
  <si>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</si>
  <si>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</si>
  <si>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</si>
  <si>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</si>
  <si>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</si>
  <si>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</si>
  <si>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</si>
  <si>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</si>
  <si>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</si>
  <si>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</si>
  <si>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</si>
  <si>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</si>
  <si>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</si>
  <si>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</si>
  <si>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</si>
  <si>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</si>
  <si>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</si>
  <si>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</si>
  <si>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</si>
  <si>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</si>
  <si>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</si>
  <si>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</si>
  <si>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</si>
  <si>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</si>
  <si>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</si>
  <si>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</si>
  <si>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</si>
  <si>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</si>
  <si>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</si>
  <si>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</si>
  <si>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</si>
  <si>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</si>
  <si>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</si>
  <si>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</si>
  <si>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</si>
  <si>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</si>
  <si>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</si>
  <si>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</si>
  <si>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</si>
  <si>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</si>
  <si>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</si>
  <si>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</si>
  <si>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</si>
  <si>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</si>
  <si>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</si>
  <si>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</si>
  <si>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</si>
  <si>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</si>
  <si>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</si>
  <si>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</si>
  <si>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</si>
  <si>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</si>
  <si>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</si>
  <si>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</si>
  <si>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</si>
  <si>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</si>
  <si>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</si>
  <si>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</si>
  <si>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</si>
  <si>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</si>
  <si>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</si>
  <si>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</si>
  <si>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</si>
  <si>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</si>
  <si>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</si>
  <si>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</si>
  <si>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</si>
  <si>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</si>
  <si>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</si>
  <si>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</si>
  <si>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</si>
  <si>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</si>
  <si>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</si>
  <si>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</si>
  <si>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</si>
  <si>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</si>
  <si>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</si>
  <si>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</si>
  <si>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%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</si>
  <si>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</si>
  <si>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</si>
  <si>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</si>
  <si>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</si>
  <si>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</si>
  <si>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</si>
  <si>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</si>
  <si>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</si>
  <si>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</si>
  <si>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</si>
  <si>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</si>
  <si>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</si>
  <si>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</si>
  <si>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</si>
  <si>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</si>
  <si>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</si>
  <si>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</si>
  <si>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</si>
  <si>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</si>
  <si>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</si>
  <si>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</si>
  <si>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</si>
  <si>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</si>
  <si>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</si>
  <si>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</si>
  <si>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</si>
  <si>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</si>
  <si>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</si>
  <si>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</si>
  <si>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</si>
  <si>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</si>
  <si>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Non-parametric CI</t>
  </si>
  <si>
    <t>≥6000-&lt;10000</t>
  </si>
  <si>
    <t>≥10000</t>
  </si>
  <si>
    <t>ng/L</t>
  </si>
  <si>
    <t>pred</t>
  </si>
  <si>
    <t>Mean x</t>
  </si>
  <si>
    <t>Mean y</t>
  </si>
  <si>
    <t>x-xbar</t>
  </si>
  <si>
    <t>y-ybar</t>
  </si>
  <si>
    <t>ss_xx</t>
  </si>
  <si>
    <t>ss_yy</t>
  </si>
  <si>
    <t>y-ypred</t>
  </si>
  <si>
    <t>sse</t>
  </si>
  <si>
    <t>sb1</t>
  </si>
  <si>
    <t>ALP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</si>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</sst>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"/>
    <numFmt numFmtId="165" formatCode="m/d/yyyy"/>
    <numFmt numFmtId="166" formatCode="0.0%"/>
    <numFmt numFmtId="167" formatCode="0.000000000"/>
    <numFmt numFmtId="168" formatCode="\t\o\ 0.0%;\t\o\ \-0.0%;\t\o\ @"/>
    <numFmt numFmtId="169" formatCode="0.000000E+00"/>
    <numFmt numFmtId="170" formatCode="0.00000"/>
    <numFmt numFmtId="171" formatCode="0.0000"/>
    <numFmt numFmtId="172" formatCode="0.0000%"/>
    <numFmt numFmtId="173" formatCode="0.000"/>
    <numFmt numFmtId="174" formatCode="d/m/yyyy"/>
  </numFmts>
  <fonts count="2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u/>
      <sz val="12"/>
      <name val="Calibri"/>
      <family val="2"/>
    </font>
    <font>
      <sz val="11"/>
      <color theme="1"/>
      <name val="Calibri"/>
      <family val="2"/>
      <scheme val="minor"/>
    </font>
    <font>
      <sz val="6"/>
      <color rgb="FFA6A6A6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1F497D"/>
      <name val="Calibri"/>
      <family val="2"/>
      <scheme val="minor"/>
    </font>
    <font>
      <b/>
      <sz val="10.5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Arial"/>
      <family val="2"/>
      <charset val="1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D8D8D8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D8D8D8"/>
      </left>
      <right style="thin">
        <color rgb="FFD8D8D8"/>
      </right>
      <top/>
      <bottom style="thin">
        <color rgb="FF808080"/>
      </bottom>
      <diagonal/>
    </border>
    <border>
      <left style="thin">
        <color rgb="FFD8D8D8"/>
      </left>
      <right style="thin">
        <color rgb="FFD8D8D8"/>
      </right>
      <top/>
      <bottom/>
      <diagonal/>
    </border>
    <border>
      <left style="thin">
        <color rgb="FFD8D8D8"/>
      </left>
      <right/>
      <top/>
      <bottom style="thin">
        <color rgb="FF808080"/>
      </bottom>
      <diagonal/>
    </border>
    <border>
      <left style="thin">
        <color rgb="FFD8D8D8"/>
      </left>
      <right/>
      <top/>
      <bottom/>
      <diagonal/>
    </border>
    <border>
      <left/>
      <right style="thin">
        <color rgb="FFD8D8D8"/>
      </right>
      <top/>
      <bottom style="thin">
        <color rgb="FF808080"/>
      </bottom>
      <diagonal/>
    </border>
    <border>
      <left/>
      <right style="thin">
        <color rgb="FFD8D8D8"/>
      </right>
      <top/>
      <bottom/>
      <diagonal/>
    </border>
    <border>
      <left style="thin">
        <color rgb="FFD8D8D8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8" fillId="0" borderId="0"/>
    <xf numFmtId="9" fontId="1" fillId="0" borderId="0" applyBorder="0" applyProtection="0"/>
    <xf numFmtId="0" fontId="19" fillId="0" borderId="0" applyBorder="0" applyProtection="0"/>
    <xf numFmtId="0" fontId="18" fillId="0" borderId="0"/>
    <xf numFmtId="0" fontId="1" fillId="5" borderId="18" applyProtection="0"/>
    <xf numFmtId="0" fontId="23" fillId="0" borderId="0"/>
  </cellStyleXfs>
  <cellXfs count="323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0" borderId="0" xfId="1" applyFont="1"/>
    <xf numFmtId="0" fontId="3" fillId="0" borderId="0" xfId="1" applyFont="1" applyAlignment="1">
      <alignment horizontal="left"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2" fillId="0" borderId="2" xfId="1" applyFont="1" applyBorder="1" applyAlignment="1" applyProtection="1">
      <alignment horizontal="center" vertical="center"/>
      <protection locked="0"/>
    </xf>
    <xf numFmtId="0" fontId="3" fillId="0" borderId="0" xfId="1" applyFont="1" applyAlignment="1">
      <alignment horizontal="right"/>
    </xf>
    <xf numFmtId="10" fontId="2" fillId="0" borderId="2" xfId="1" applyNumberFormat="1" applyFont="1" applyBorder="1" applyAlignment="1" applyProtection="1">
      <alignment horizontal="center" vertical="center"/>
      <protection locked="0"/>
    </xf>
    <xf numFmtId="0" fontId="4" fillId="0" borderId="4" xfId="1" applyFont="1" applyBorder="1" applyAlignment="1">
      <alignment vertical="center"/>
    </xf>
    <xf numFmtId="0" fontId="3" fillId="0" borderId="2" xfId="1" applyFont="1" applyBorder="1" applyAlignment="1">
      <alignment horizontal="center"/>
    </xf>
    <xf numFmtId="0" fontId="2" fillId="0" borderId="2" xfId="1" applyFont="1" applyBorder="1" applyAlignment="1">
      <alignment vertical="center"/>
    </xf>
    <xf numFmtId="165" fontId="2" fillId="0" borderId="2" xfId="1" applyNumberFormat="1" applyFont="1" applyBorder="1" applyAlignment="1" applyProtection="1">
      <alignment vertical="center"/>
      <protection locked="0"/>
    </xf>
    <xf numFmtId="166" fontId="0" fillId="0" borderId="0" xfId="0" applyNumberFormat="1"/>
    <xf numFmtId="166" fontId="0" fillId="0" borderId="0" xfId="2" applyNumberFormat="1" applyFont="1"/>
    <xf numFmtId="0" fontId="0" fillId="0" borderId="0" xfId="0" applyAlignment="1">
      <alignment vertical="center"/>
    </xf>
    <xf numFmtId="0" fontId="8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6" fillId="2" borderId="0" xfId="0" quotePrefix="1" applyFont="1" applyFill="1" applyAlignment="1">
      <alignment horizontal="right" vertical="center"/>
    </xf>
    <xf numFmtId="0" fontId="9" fillId="2" borderId="0" xfId="0" quotePrefix="1" applyFont="1" applyFill="1" applyAlignment="1">
      <alignment vertical="center"/>
    </xf>
    <xf numFmtId="0" fontId="0" fillId="2" borderId="5" xfId="0" applyFill="1" applyBorder="1" applyAlignment="1">
      <alignment vertical="center"/>
    </xf>
    <xf numFmtId="0" fontId="10" fillId="0" borderId="6" xfId="0" quotePrefix="1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1" fillId="0" borderId="7" xfId="0" quotePrefix="1" applyFont="1" applyBorder="1" applyAlignment="1">
      <alignment horizontal="right" wrapText="1"/>
    </xf>
    <xf numFmtId="0" fontId="11" fillId="0" borderId="7" xfId="0" quotePrefix="1" applyFont="1" applyBorder="1" applyAlignment="1">
      <alignment horizontal="centerContinuous" wrapText="1"/>
    </xf>
    <xf numFmtId="0" fontId="11" fillId="0" borderId="8" xfId="0" quotePrefix="1" applyFont="1" applyBorder="1" applyAlignment="1">
      <alignment horizontal="centerContinuous" wrapText="1"/>
    </xf>
    <xf numFmtId="0" fontId="11" fillId="0" borderId="10" xfId="0" quotePrefix="1" applyFont="1" applyBorder="1" applyAlignment="1">
      <alignment horizontal="centerContinuous" wrapText="1"/>
    </xf>
    <xf numFmtId="0" fontId="11" fillId="0" borderId="12" xfId="0" quotePrefix="1" applyFont="1" applyBorder="1" applyAlignment="1">
      <alignment horizontal="centerContinuous" wrapText="1"/>
    </xf>
    <xf numFmtId="0" fontId="8" fillId="0" borderId="13" xfId="0" applyFont="1" applyBorder="1" applyAlignment="1">
      <alignment horizontal="right" vertical="center"/>
    </xf>
    <xf numFmtId="0" fontId="8" fillId="0" borderId="0" xfId="0" applyFont="1" applyAlignment="1">
      <alignment horizontal="right" vertical="center" wrapText="1"/>
    </xf>
    <xf numFmtId="166" fontId="8" fillId="0" borderId="13" xfId="0" applyNumberFormat="1" applyFont="1" applyBorder="1" applyAlignment="1">
      <alignment horizontal="right" vertical="center"/>
    </xf>
    <xf numFmtId="167" fontId="8" fillId="0" borderId="13" xfId="0" applyNumberFormat="1" applyFont="1" applyBorder="1" applyAlignment="1">
      <alignment horizontal="right" vertical="center"/>
    </xf>
    <xf numFmtId="166" fontId="8" fillId="0" borderId="11" xfId="0" applyNumberFormat="1" applyFont="1" applyBorder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quotePrefix="1" applyFont="1" applyAlignment="1">
      <alignment vertical="center"/>
    </xf>
    <xf numFmtId="0" fontId="11" fillId="0" borderId="7" xfId="0" applyFont="1" applyBorder="1" applyAlignment="1">
      <alignment horizontal="centerContinuous" wrapText="1"/>
    </xf>
    <xf numFmtId="0" fontId="11" fillId="0" borderId="14" xfId="0" applyFont="1" applyBorder="1" applyAlignment="1">
      <alignment horizontal="centerContinuous" wrapText="1"/>
    </xf>
    <xf numFmtId="0" fontId="8" fillId="0" borderId="15" xfId="0" applyFont="1" applyBorder="1" applyAlignment="1">
      <alignment horizontal="left" vertical="center"/>
    </xf>
    <xf numFmtId="0" fontId="8" fillId="0" borderId="0" xfId="0" quotePrefix="1" applyFont="1" applyAlignment="1">
      <alignment horizontal="right" vertical="center"/>
    </xf>
    <xf numFmtId="0" fontId="8" fillId="0" borderId="0" xfId="0" quotePrefix="1" applyFont="1" applyAlignment="1">
      <alignment horizontal="right" vertical="center" wrapText="1"/>
    </xf>
    <xf numFmtId="166" fontId="8" fillId="0" borderId="9" xfId="0" applyNumberFormat="1" applyFont="1" applyBorder="1" applyAlignment="1">
      <alignment horizontal="right" vertical="center"/>
    </xf>
    <xf numFmtId="168" fontId="8" fillId="0" borderId="15" xfId="0" applyNumberFormat="1" applyFont="1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169" fontId="8" fillId="0" borderId="9" xfId="0" applyNumberFormat="1" applyFont="1" applyBorder="1" applyAlignment="1">
      <alignment horizontal="right" vertical="center"/>
    </xf>
    <xf numFmtId="1" fontId="8" fillId="0" borderId="13" xfId="0" applyNumberFormat="1" applyFont="1" applyBorder="1" applyAlignment="1">
      <alignment horizontal="right" vertical="center"/>
    </xf>
    <xf numFmtId="167" fontId="8" fillId="0" borderId="11" xfId="0" applyNumberFormat="1" applyFont="1" applyBorder="1" applyAlignment="1">
      <alignment horizontal="right" vertical="center"/>
    </xf>
    <xf numFmtId="171" fontId="8" fillId="0" borderId="9" xfId="0" applyNumberFormat="1" applyFont="1" applyBorder="1" applyAlignment="1">
      <alignment horizontal="right" vertical="center"/>
    </xf>
    <xf numFmtId="2" fontId="8" fillId="0" borderId="9" xfId="0" applyNumberFormat="1" applyFont="1" applyBorder="1" applyAlignment="1">
      <alignment horizontal="right" vertical="center"/>
    </xf>
    <xf numFmtId="170" fontId="8" fillId="0" borderId="11" xfId="0" applyNumberFormat="1" applyFont="1" applyBorder="1" applyAlignment="1">
      <alignment horizontal="right" vertical="center"/>
    </xf>
    <xf numFmtId="0" fontId="11" fillId="0" borderId="8" xfId="0" quotePrefix="1" applyFont="1" applyBorder="1" applyAlignment="1">
      <alignment horizontal="center" wrapText="1"/>
    </xf>
    <xf numFmtId="0" fontId="11" fillId="0" borderId="12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right"/>
    </xf>
    <xf numFmtId="0" fontId="11" fillId="0" borderId="8" xfId="0" quotePrefix="1" applyFont="1" applyBorder="1" applyAlignment="1">
      <alignment horizontal="center"/>
    </xf>
    <xf numFmtId="0" fontId="11" fillId="0" borderId="12" xfId="0" quotePrefix="1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7" xfId="0" quotePrefix="1" applyFont="1" applyBorder="1" applyAlignment="1">
      <alignment horizontal="center"/>
    </xf>
    <xf numFmtId="0" fontId="11" fillId="0" borderId="10" xfId="0" quotePrefix="1" applyFont="1" applyBorder="1" applyAlignment="1">
      <alignment horizontal="center" wrapText="1"/>
    </xf>
    <xf numFmtId="0" fontId="11" fillId="0" borderId="8" xfId="0" quotePrefix="1" applyFont="1" applyBorder="1" applyAlignment="1">
      <alignment horizontal="centerContinuous"/>
    </xf>
    <xf numFmtId="0" fontId="11" fillId="0" borderId="12" xfId="0" quotePrefix="1" applyFont="1" applyBorder="1" applyAlignment="1">
      <alignment horizontal="centerContinuous"/>
    </xf>
    <xf numFmtId="0" fontId="11" fillId="0" borderId="10" xfId="0" quotePrefix="1" applyFont="1" applyBorder="1" applyAlignment="1">
      <alignment horizontal="centerContinuous"/>
    </xf>
    <xf numFmtId="0" fontId="11" fillId="0" borderId="7" xfId="0" quotePrefix="1" applyFont="1" applyBorder="1" applyAlignment="1">
      <alignment horizontal="centerContinuous"/>
    </xf>
    <xf numFmtId="170" fontId="8" fillId="0" borderId="13" xfId="0" applyNumberFormat="1" applyFont="1" applyBorder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0" fontId="11" fillId="0" borderId="7" xfId="0" applyFont="1" applyBorder="1" applyAlignment="1">
      <alignment horizontal="center" wrapText="1"/>
    </xf>
    <xf numFmtId="0" fontId="8" fillId="0" borderId="16" xfId="0" quotePrefix="1" applyFont="1" applyBorder="1" applyAlignment="1">
      <alignment horizontal="left" vertical="center"/>
    </xf>
    <xf numFmtId="172" fontId="0" fillId="0" borderId="0" xfId="2" applyNumberFormat="1" applyFont="1"/>
    <xf numFmtId="0" fontId="16" fillId="3" borderId="0" xfId="1" applyFont="1" applyFill="1" applyAlignment="1">
      <alignment horizontal="left" vertical="center"/>
    </xf>
    <xf numFmtId="0" fontId="16" fillId="3" borderId="0" xfId="1" applyFont="1" applyFill="1" applyAlignment="1">
      <alignment horizontal="center" vertical="center"/>
    </xf>
    <xf numFmtId="0" fontId="17" fillId="3" borderId="0" xfId="1" applyFont="1" applyFill="1"/>
    <xf numFmtId="0" fontId="3" fillId="0" borderId="0" xfId="1" applyFont="1"/>
    <xf numFmtId="0" fontId="3" fillId="0" borderId="0" xfId="1" applyFont="1" applyAlignment="1">
      <alignment horizontal="left"/>
    </xf>
    <xf numFmtId="0" fontId="2" fillId="0" borderId="0" xfId="3" applyFont="1"/>
    <xf numFmtId="0" fontId="3" fillId="0" borderId="0" xfId="3" applyFont="1" applyAlignment="1">
      <alignment horizontal="left"/>
    </xf>
    <xf numFmtId="0" fontId="2" fillId="0" borderId="2" xfId="1" applyFont="1" applyBorder="1" applyAlignment="1">
      <alignment horizontal="left" vertical="center"/>
    </xf>
    <xf numFmtId="0" fontId="2" fillId="0" borderId="0" xfId="3" applyFont="1" applyAlignment="1">
      <alignment horizontal="right"/>
    </xf>
    <xf numFmtId="0" fontId="2" fillId="0" borderId="2" xfId="3" applyFont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0" xfId="1" applyFont="1" applyAlignment="1" applyProtection="1">
      <alignment horizontal="left" vertical="center"/>
      <protection locked="0"/>
    </xf>
    <xf numFmtId="166" fontId="2" fillId="0" borderId="2" xfId="4" applyNumberFormat="1" applyFont="1" applyBorder="1" applyAlignment="1" applyProtection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1" fontId="2" fillId="0" borderId="0" xfId="1" applyNumberFormat="1" applyFont="1"/>
    <xf numFmtId="49" fontId="3" fillId="0" borderId="0" xfId="3" applyNumberFormat="1" applyFont="1" applyAlignment="1" applyProtection="1">
      <alignment horizontal="left"/>
      <protection locked="0"/>
    </xf>
    <xf numFmtId="49" fontId="2" fillId="0" borderId="0" xfId="3" applyNumberFormat="1" applyFont="1" applyAlignment="1" applyProtection="1">
      <alignment vertical="center" wrapText="1"/>
      <protection locked="0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 vertical="top"/>
    </xf>
    <xf numFmtId="0" fontId="3" fillId="0" borderId="0" xfId="1" applyFont="1" applyAlignment="1" applyProtection="1">
      <alignment horizontal="left" vertical="center"/>
      <protection locked="0"/>
    </xf>
    <xf numFmtId="0" fontId="3" fillId="0" borderId="0" xfId="1" applyFont="1" applyAlignment="1">
      <alignment vertical="center"/>
    </xf>
    <xf numFmtId="0" fontId="3" fillId="0" borderId="0" xfId="5" applyFont="1" applyBorder="1" applyAlignment="1" applyProtection="1">
      <alignment vertical="center"/>
    </xf>
    <xf numFmtId="1" fontId="2" fillId="0" borderId="0" xfId="1" applyNumberFormat="1" applyFont="1" applyAlignment="1">
      <alignment horizontal="center"/>
    </xf>
    <xf numFmtId="2" fontId="2" fillId="0" borderId="0" xfId="1" applyNumberFormat="1" applyFont="1" applyAlignment="1">
      <alignment horizont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top"/>
    </xf>
    <xf numFmtId="0" fontId="2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>
      <alignment horizontal="left" vertical="top"/>
    </xf>
    <xf numFmtId="165" fontId="2" fillId="0" borderId="0" xfId="1" applyNumberFormat="1" applyFont="1" applyAlignment="1" applyProtection="1">
      <alignment vertical="center"/>
      <protection locked="0"/>
    </xf>
    <xf numFmtId="0" fontId="2" fillId="0" borderId="0" xfId="1" applyFont="1" applyAlignment="1">
      <alignment horizontal="right"/>
    </xf>
    <xf numFmtId="2" fontId="2" fillId="0" borderId="0" xfId="4" applyNumberFormat="1" applyFont="1" applyBorder="1" applyAlignment="1" applyProtection="1">
      <alignment horizontal="center" vertical="center"/>
    </xf>
    <xf numFmtId="0" fontId="16" fillId="3" borderId="0" xfId="1" applyFont="1" applyFill="1" applyAlignment="1">
      <alignment vertical="center"/>
    </xf>
    <xf numFmtId="0" fontId="17" fillId="3" borderId="0" xfId="1" applyFont="1" applyFill="1" applyAlignment="1">
      <alignment horizontal="center" vertical="center"/>
    </xf>
    <xf numFmtId="0" fontId="17" fillId="3" borderId="0" xfId="1" applyFont="1" applyFill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0" xfId="3" applyFont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3" fillId="0" borderId="27" xfId="3" applyFont="1" applyBorder="1" applyAlignment="1">
      <alignment horizontal="left" vertical="center"/>
    </xf>
    <xf numFmtId="0" fontId="2" fillId="0" borderId="27" xfId="3" applyFont="1" applyBorder="1" applyAlignment="1">
      <alignment horizontal="left" vertical="center"/>
    </xf>
    <xf numFmtId="0" fontId="2" fillId="0" borderId="23" xfId="3" applyFont="1" applyBorder="1" applyAlignment="1">
      <alignment horizontal="left" vertical="center"/>
    </xf>
    <xf numFmtId="0" fontId="3" fillId="0" borderId="23" xfId="1" applyFont="1" applyBorder="1" applyAlignment="1">
      <alignment horizontal="right" vertical="center"/>
    </xf>
    <xf numFmtId="49" fontId="2" fillId="0" borderId="0" xfId="6" applyNumberFormat="1" applyFont="1" applyAlignment="1">
      <alignment vertical="center" wrapText="1"/>
    </xf>
    <xf numFmtId="0" fontId="3" fillId="0" borderId="0" xfId="3" applyFont="1" applyAlignment="1" applyProtection="1">
      <alignment vertical="center"/>
      <protection locked="0"/>
    </xf>
    <xf numFmtId="0" fontId="3" fillId="0" borderId="0" xfId="3" applyFont="1"/>
    <xf numFmtId="0" fontId="3" fillId="0" borderId="0" xfId="3" applyFont="1" applyAlignment="1">
      <alignment horizontal="right"/>
    </xf>
    <xf numFmtId="0" fontId="2" fillId="4" borderId="2" xfId="3" applyFont="1" applyFill="1" applyBorder="1" applyAlignment="1" applyProtection="1">
      <alignment vertical="center"/>
      <protection locked="0"/>
    </xf>
    <xf numFmtId="2" fontId="2" fillId="0" borderId="0" xfId="3" applyNumberFormat="1" applyFont="1" applyAlignment="1" applyProtection="1">
      <alignment horizontal="left" vertical="center"/>
      <protection locked="0"/>
    </xf>
    <xf numFmtId="2" fontId="2" fillId="0" borderId="0" xfId="3" applyNumberFormat="1" applyFont="1" applyAlignment="1" applyProtection="1">
      <alignment horizontal="right" vertical="center"/>
      <protection locked="0"/>
    </xf>
    <xf numFmtId="0" fontId="2" fillId="4" borderId="2" xfId="3" applyFont="1" applyFill="1" applyBorder="1" applyProtection="1">
      <protection locked="0"/>
    </xf>
    <xf numFmtId="2" fontId="2" fillId="0" borderId="0" xfId="3" applyNumberFormat="1" applyFont="1" applyAlignment="1">
      <alignment horizontal="left" vertical="center"/>
    </xf>
    <xf numFmtId="0" fontId="3" fillId="0" borderId="2" xfId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/>
      <protection locked="0"/>
    </xf>
    <xf numFmtId="0" fontId="2" fillId="0" borderId="26" xfId="1" applyFont="1" applyBorder="1"/>
    <xf numFmtId="0" fontId="2" fillId="0" borderId="29" xfId="1" applyFont="1" applyBorder="1"/>
    <xf numFmtId="0" fontId="2" fillId="0" borderId="2" xfId="3" applyFont="1" applyBorder="1" applyAlignment="1" applyProtection="1">
      <alignment horizontal="center" vertical="center"/>
      <protection locked="0"/>
    </xf>
    <xf numFmtId="173" fontId="2" fillId="0" borderId="1" xfId="1" applyNumberFormat="1" applyFont="1" applyBorder="1" applyAlignment="1" applyProtection="1">
      <alignment horizontal="center" vertical="center"/>
      <protection locked="0"/>
    </xf>
    <xf numFmtId="0" fontId="2" fillId="0" borderId="3" xfId="1" applyFont="1" applyBorder="1"/>
    <xf numFmtId="0" fontId="2" fillId="0" borderId="2" xfId="1" applyFont="1" applyBorder="1"/>
    <xf numFmtId="0" fontId="2" fillId="0" borderId="2" xfId="7" applyFont="1" applyFill="1" applyBorder="1" applyAlignment="1" applyProtection="1">
      <alignment horizontal="center" vertical="center"/>
      <protection locked="0"/>
    </xf>
    <xf numFmtId="173" fontId="2" fillId="0" borderId="0" xfId="1" applyNumberFormat="1" applyFont="1"/>
    <xf numFmtId="0" fontId="2" fillId="0" borderId="2" xfId="1" applyFont="1" applyBorder="1" applyAlignment="1" applyProtection="1">
      <alignment horizontal="center"/>
      <protection locked="0"/>
    </xf>
    <xf numFmtId="0" fontId="2" fillId="0" borderId="22" xfId="1" applyFont="1" applyBorder="1"/>
    <xf numFmtId="0" fontId="2" fillId="0" borderId="28" xfId="1" applyFont="1" applyBorder="1"/>
    <xf numFmtId="10" fontId="2" fillId="0" borderId="0" xfId="1" applyNumberFormat="1" applyFont="1"/>
    <xf numFmtId="0" fontId="2" fillId="4" borderId="0" xfId="1" applyFont="1" applyFill="1"/>
    <xf numFmtId="0" fontId="2" fillId="0" borderId="2" xfId="1" applyFont="1" applyBorder="1" applyAlignment="1">
      <alignment horizontal="center"/>
    </xf>
    <xf numFmtId="0" fontId="3" fillId="0" borderId="23" xfId="1" applyFont="1" applyBorder="1" applyAlignment="1">
      <alignment horizontal="right"/>
    </xf>
    <xf numFmtId="173" fontId="2" fillId="0" borderId="2" xfId="1" applyNumberFormat="1" applyFont="1" applyBorder="1"/>
    <xf numFmtId="0" fontId="3" fillId="0" borderId="0" xfId="1" applyFont="1" applyAlignment="1">
      <alignment vertical="center" wrapText="1"/>
    </xf>
    <xf numFmtId="0" fontId="2" fillId="0" borderId="0" xfId="1" applyFont="1" applyAlignment="1" applyProtection="1">
      <alignment vertical="center" wrapText="1"/>
      <protection locked="0"/>
    </xf>
    <xf numFmtId="0" fontId="3" fillId="0" borderId="0" xfId="1" applyFont="1" applyAlignment="1">
      <alignment horizontal="center"/>
    </xf>
    <xf numFmtId="0" fontId="3" fillId="0" borderId="2" xfId="1" applyFont="1" applyBorder="1"/>
    <xf numFmtId="171" fontId="2" fillId="0" borderId="2" xfId="1" applyNumberFormat="1" applyFont="1" applyBorder="1"/>
    <xf numFmtId="171" fontId="2" fillId="0" borderId="0" xfId="1" applyNumberFormat="1" applyFont="1"/>
    <xf numFmtId="0" fontId="20" fillId="0" borderId="0" xfId="1" applyFont="1" applyAlignment="1">
      <alignment horizontal="left"/>
    </xf>
    <xf numFmtId="0" fontId="16" fillId="0" borderId="0" xfId="1" applyFont="1" applyAlignment="1">
      <alignment horizontal="left"/>
    </xf>
    <xf numFmtId="0" fontId="17" fillId="0" borderId="0" xfId="1" applyFont="1"/>
    <xf numFmtId="0" fontId="17" fillId="4" borderId="0" xfId="1" applyFont="1" applyFill="1"/>
    <xf numFmtId="0" fontId="17" fillId="0" borderId="0" xfId="1" applyFont="1" applyAlignment="1">
      <alignment horizontal="right"/>
    </xf>
    <xf numFmtId="10" fontId="17" fillId="0" borderId="0" xfId="1" applyNumberFormat="1" applyFont="1"/>
    <xf numFmtId="173" fontId="2" fillId="0" borderId="2" xfId="1" applyNumberFormat="1" applyFont="1" applyBorder="1" applyProtection="1">
      <protection locked="0"/>
    </xf>
    <xf numFmtId="166" fontId="2" fillId="0" borderId="0" xfId="1" applyNumberFormat="1" applyFont="1"/>
    <xf numFmtId="0" fontId="16" fillId="3" borderId="0" xfId="5" applyFont="1" applyFill="1" applyBorder="1" applyAlignment="1" applyProtection="1">
      <alignment vertical="center"/>
    </xf>
    <xf numFmtId="0" fontId="20" fillId="0" borderId="0" xfId="1" applyFont="1"/>
    <xf numFmtId="49" fontId="2" fillId="0" borderId="0" xfId="1" applyNumberFormat="1" applyFont="1" applyAlignment="1" applyProtection="1">
      <alignment vertical="center"/>
      <protection locked="0"/>
    </xf>
    <xf numFmtId="165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wrapText="1"/>
    </xf>
    <xf numFmtId="0" fontId="3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3" fillId="0" borderId="19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49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2" xfId="1" applyNumberFormat="1" applyFont="1" applyBorder="1" applyAlignment="1" applyProtection="1">
      <alignment horizontal="center" vertical="center"/>
      <protection locked="0"/>
    </xf>
    <xf numFmtId="2" fontId="3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 vertical="center"/>
    </xf>
    <xf numFmtId="166" fontId="2" fillId="0" borderId="2" xfId="4" applyNumberFormat="1" applyFont="1" applyBorder="1" applyAlignment="1" applyProtection="1">
      <alignment horizontal="center" vertical="center"/>
      <protection locked="0"/>
    </xf>
    <xf numFmtId="1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164" fontId="2" fillId="0" borderId="0" xfId="1" applyNumberFormat="1" applyFont="1" applyAlignment="1">
      <alignment horizontal="center"/>
    </xf>
    <xf numFmtId="9" fontId="2" fillId="0" borderId="2" xfId="4" applyFont="1" applyBorder="1" applyAlignment="1" applyProtection="1">
      <alignment horizontal="center" vertical="center"/>
      <protection locked="0"/>
    </xf>
    <xf numFmtId="0" fontId="16" fillId="0" borderId="0" xfId="1" applyFont="1" applyAlignment="1">
      <alignment vertical="center"/>
    </xf>
    <xf numFmtId="0" fontId="17" fillId="0" borderId="0" xfId="1" applyFont="1" applyAlignment="1">
      <alignment vertical="center"/>
    </xf>
    <xf numFmtId="0" fontId="4" fillId="0" borderId="0" xfId="1" applyFont="1" applyAlignment="1">
      <alignment horizontal="right"/>
    </xf>
    <xf numFmtId="0" fontId="2" fillId="0" borderId="2" xfId="1" applyFont="1" applyBorder="1" applyAlignment="1">
      <alignment horizontal="right"/>
    </xf>
    <xf numFmtId="2" fontId="2" fillId="0" borderId="2" xfId="1" applyNumberFormat="1" applyFont="1" applyBorder="1"/>
    <xf numFmtId="10" fontId="2" fillId="0" borderId="2" xfId="4" applyNumberFormat="1" applyFont="1" applyBorder="1" applyProtection="1"/>
    <xf numFmtId="1" fontId="3" fillId="0" borderId="2" xfId="1" applyNumberFormat="1" applyFont="1" applyBorder="1" applyAlignment="1">
      <alignment horizontal="center" vertical="center"/>
    </xf>
    <xf numFmtId="173" fontId="2" fillId="0" borderId="0" xfId="4" applyNumberFormat="1" applyFont="1" applyBorder="1" applyProtection="1"/>
    <xf numFmtId="166" fontId="2" fillId="0" borderId="2" xfId="4" applyNumberFormat="1" applyFont="1" applyBorder="1" applyAlignment="1" applyProtection="1">
      <alignment horizontal="center" vertical="center"/>
    </xf>
    <xf numFmtId="2" fontId="2" fillId="0" borderId="2" xfId="4" applyNumberFormat="1" applyFont="1" applyBorder="1" applyAlignment="1" applyProtection="1">
      <alignment horizontal="center" vertical="center"/>
    </xf>
    <xf numFmtId="2" fontId="3" fillId="0" borderId="2" xfId="4" applyNumberFormat="1" applyFont="1" applyBorder="1" applyAlignment="1" applyProtection="1">
      <alignment horizontal="center" vertical="center"/>
    </xf>
    <xf numFmtId="166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0" xfId="1" applyNumberFormat="1" applyFont="1"/>
    <xf numFmtId="166" fontId="2" fillId="0" borderId="2" xfId="4" applyNumberFormat="1" applyFont="1" applyBorder="1" applyProtection="1"/>
    <xf numFmtId="0" fontId="2" fillId="0" borderId="2" xfId="1" applyFont="1" applyBorder="1" applyProtection="1">
      <protection locked="0"/>
    </xf>
    <xf numFmtId="10" fontId="2" fillId="0" borderId="2" xfId="1" applyNumberFormat="1" applyFon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3" fillId="0" borderId="0" xfId="1" applyFont="1" applyAlignment="1">
      <alignment horizontal="right" vertical="center" wrapText="1"/>
    </xf>
    <xf numFmtId="0" fontId="2" fillId="0" borderId="0" xfId="8" applyFont="1"/>
    <xf numFmtId="0" fontId="3" fillId="0" borderId="0" xfId="8" applyFont="1"/>
    <xf numFmtId="49" fontId="2" fillId="0" borderId="0" xfId="8" applyNumberFormat="1" applyFont="1" applyAlignment="1" applyProtection="1">
      <alignment vertical="center"/>
      <protection locked="0"/>
    </xf>
    <xf numFmtId="0" fontId="4" fillId="0" borderId="0" xfId="8" applyFont="1" applyAlignment="1">
      <alignment horizontal="right" vertical="center"/>
    </xf>
    <xf numFmtId="0" fontId="3" fillId="0" borderId="0" xfId="8" applyFont="1" applyAlignment="1">
      <alignment horizontal="left"/>
    </xf>
    <xf numFmtId="0" fontId="20" fillId="0" borderId="0" xfId="8" applyFont="1" applyAlignment="1">
      <alignment horizontal="left"/>
    </xf>
    <xf numFmtId="0" fontId="2" fillId="0" borderId="2" xfId="8" applyFont="1" applyBorder="1" applyAlignment="1" applyProtection="1">
      <alignment horizontal="left"/>
      <protection locked="0"/>
    </xf>
    <xf numFmtId="0" fontId="2" fillId="0" borderId="0" xfId="8" applyFont="1" applyAlignment="1">
      <alignment horizontal="left"/>
    </xf>
    <xf numFmtId="0" fontId="3" fillId="0" borderId="0" xfId="8" applyFont="1" applyAlignment="1">
      <alignment wrapText="1"/>
    </xf>
    <xf numFmtId="0" fontId="3" fillId="0" borderId="0" xfId="8" applyFont="1" applyAlignment="1">
      <alignment vertic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0" fontId="2" fillId="0" borderId="2" xfId="8" applyFont="1" applyBorder="1"/>
    <xf numFmtId="165" fontId="24" fillId="0" borderId="2" xfId="8" applyNumberFormat="1" applyFont="1" applyBorder="1" applyProtection="1">
      <protection locked="0"/>
    </xf>
    <xf numFmtId="0" fontId="2" fillId="0" borderId="2" xfId="8" applyFont="1" applyBorder="1" applyProtection="1">
      <protection locked="0"/>
    </xf>
    <xf numFmtId="0" fontId="3" fillId="0" borderId="0" xfId="8" applyFont="1" applyAlignment="1">
      <alignment horizontal="right"/>
    </xf>
    <xf numFmtId="1" fontId="2" fillId="0" borderId="2" xfId="8" applyNumberFormat="1" applyFont="1" applyBorder="1"/>
    <xf numFmtId="0" fontId="2" fillId="0" borderId="0" xfId="8" applyFont="1" applyAlignment="1">
      <alignment horizontal="right"/>
    </xf>
    <xf numFmtId="9" fontId="2" fillId="0" borderId="2" xfId="4" applyFont="1" applyBorder="1" applyProtection="1"/>
    <xf numFmtId="0" fontId="3" fillId="0" borderId="24" xfId="8" applyFont="1" applyBorder="1" applyAlignment="1">
      <alignment horizontal="right"/>
    </xf>
    <xf numFmtId="2" fontId="2" fillId="0" borderId="2" xfId="8" applyNumberFormat="1" applyFont="1" applyBorder="1"/>
    <xf numFmtId="0" fontId="3" fillId="0" borderId="2" xfId="8" applyFont="1" applyBorder="1" applyAlignment="1" applyProtection="1">
      <alignment horizontal="left"/>
      <protection locked="0"/>
    </xf>
    <xf numFmtId="0" fontId="3" fillId="0" borderId="0" xfId="8" applyFont="1" applyAlignment="1">
      <alignment horizontal="center"/>
    </xf>
    <xf numFmtId="0" fontId="2" fillId="0" borderId="0" xfId="8" applyFont="1" applyAlignment="1">
      <alignment horizontal="center"/>
    </xf>
    <xf numFmtId="0" fontId="2" fillId="0" borderId="0" xfId="8" applyFont="1" applyAlignment="1">
      <alignment horizontal="center" vertical="center"/>
    </xf>
    <xf numFmtId="173" fontId="2" fillId="0" borderId="2" xfId="8" applyNumberFormat="1" applyFont="1" applyBorder="1"/>
    <xf numFmtId="171" fontId="2" fillId="0" borderId="2" xfId="8" applyNumberFormat="1" applyFont="1" applyBorder="1"/>
    <xf numFmtId="0" fontId="2" fillId="0" borderId="29" xfId="8" applyFont="1" applyBorder="1"/>
    <xf numFmtId="0" fontId="20" fillId="0" borderId="0" xfId="8" applyFont="1"/>
    <xf numFmtId="0" fontId="3" fillId="0" borderId="2" xfId="8" applyFont="1" applyBorder="1"/>
    <xf numFmtId="173" fontId="2" fillId="0" borderId="0" xfId="8" applyNumberFormat="1" applyFont="1"/>
    <xf numFmtId="0" fontId="3" fillId="0" borderId="0" xfId="8" applyFont="1" applyAlignment="1">
      <alignment horizontal="right" vertical="center"/>
    </xf>
    <xf numFmtId="166" fontId="2" fillId="0" borderId="0" xfId="4" applyNumberFormat="1" applyFont="1" applyBorder="1" applyProtection="1"/>
    <xf numFmtId="0" fontId="7" fillId="2" borderId="0" xfId="0" quotePrefix="1" applyFont="1" applyFill="1" applyAlignment="1">
      <alignment vertical="center" wrapText="1"/>
    </xf>
    <xf numFmtId="0" fontId="0" fillId="2" borderId="0" xfId="0" applyFill="1" applyAlignment="1">
      <alignment vertical="center"/>
    </xf>
    <xf numFmtId="0" fontId="8" fillId="2" borderId="0" xfId="0" quotePrefix="1" applyFont="1" applyFill="1" applyAlignment="1">
      <alignment vertical="center" wrapText="1"/>
    </xf>
    <xf numFmtId="0" fontId="8" fillId="0" borderId="16" xfId="0" quotePrefix="1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2" fillId="0" borderId="1" xfId="1" applyFont="1" applyBorder="1" applyAlignment="1" applyProtection="1">
      <alignment horizontal="lef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0" xfId="1" applyFont="1" applyBorder="1" applyAlignment="1" applyProtection="1">
      <alignment horizontal="left" vertical="top"/>
      <protection locked="0"/>
    </xf>
    <xf numFmtId="0" fontId="2" fillId="0" borderId="21" xfId="1" applyFont="1" applyBorder="1" applyAlignment="1" applyProtection="1">
      <alignment horizontal="left" vertical="top"/>
      <protection locked="0"/>
    </xf>
    <xf numFmtId="0" fontId="2" fillId="0" borderId="22" xfId="1" applyFont="1" applyBorder="1" applyAlignment="1" applyProtection="1">
      <alignment horizontal="left" vertical="top"/>
      <protection locked="0"/>
    </xf>
    <xf numFmtId="0" fontId="2" fillId="0" borderId="23" xfId="1" applyFont="1" applyBorder="1" applyAlignment="1" applyProtection="1">
      <alignment horizontal="left" vertical="top"/>
      <protection locked="0"/>
    </xf>
    <xf numFmtId="0" fontId="2" fillId="0" borderId="0" xfId="1" applyFont="1" applyAlignment="1" applyProtection="1">
      <alignment horizontal="left" vertical="top"/>
      <protection locked="0"/>
    </xf>
    <xf numFmtId="0" fontId="2" fillId="0" borderId="24" xfId="1" applyFont="1" applyBorder="1" applyAlignment="1" applyProtection="1">
      <alignment horizontal="left" vertical="top"/>
      <protection locked="0"/>
    </xf>
    <xf numFmtId="0" fontId="2" fillId="0" borderId="25" xfId="1" applyFont="1" applyBorder="1" applyAlignment="1" applyProtection="1">
      <alignment horizontal="left" vertical="top"/>
      <protection locked="0"/>
    </xf>
    <xf numFmtId="0" fontId="2" fillId="0" borderId="4" xfId="1" applyFont="1" applyBorder="1" applyAlignment="1" applyProtection="1">
      <alignment horizontal="left" vertical="top"/>
      <protection locked="0"/>
    </xf>
    <xf numFmtId="0" fontId="2" fillId="0" borderId="26" xfId="1" applyFont="1" applyBorder="1" applyAlignment="1" applyProtection="1">
      <alignment horizontal="left" vertical="top"/>
      <protection locked="0"/>
    </xf>
    <xf numFmtId="0" fontId="2" fillId="0" borderId="20" xfId="1" applyFont="1" applyBorder="1" applyAlignment="1" applyProtection="1">
      <alignment horizontal="left" vertical="center"/>
      <protection locked="0"/>
    </xf>
    <xf numFmtId="0" fontId="2" fillId="0" borderId="21" xfId="1" applyFont="1" applyBorder="1" applyAlignment="1" applyProtection="1">
      <alignment horizontal="left" vertical="center"/>
      <protection locked="0"/>
    </xf>
    <xf numFmtId="0" fontId="2" fillId="0" borderId="22" xfId="1" applyFont="1" applyBorder="1" applyAlignment="1" applyProtection="1">
      <alignment horizontal="left" vertical="center"/>
      <protection locked="0"/>
    </xf>
    <xf numFmtId="0" fontId="2" fillId="0" borderId="23" xfId="1" applyFont="1" applyBorder="1" applyAlignment="1" applyProtection="1">
      <alignment horizontal="lef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2" fillId="0" borderId="24" xfId="1" applyFont="1" applyBorder="1" applyAlignment="1" applyProtection="1">
      <alignment horizontal="left" vertical="center"/>
      <protection locked="0"/>
    </xf>
    <xf numFmtId="0" fontId="2" fillId="0" borderId="25" xfId="1" applyFont="1" applyBorder="1" applyAlignment="1" applyProtection="1">
      <alignment horizontal="left" vertical="center"/>
      <protection locked="0"/>
    </xf>
    <xf numFmtId="0" fontId="2" fillId="0" borderId="4" xfId="1" applyFont="1" applyBorder="1" applyAlignment="1" applyProtection="1">
      <alignment horizontal="left" vertical="center"/>
      <protection locked="0"/>
    </xf>
    <xf numFmtId="0" fontId="2" fillId="0" borderId="26" xfId="1" applyFont="1" applyBorder="1" applyAlignment="1" applyProtection="1">
      <alignment horizontal="left" vertical="center"/>
      <protection locked="0"/>
    </xf>
    <xf numFmtId="174" fontId="2" fillId="0" borderId="1" xfId="1" applyNumberFormat="1" applyFont="1" applyBorder="1" applyAlignment="1" applyProtection="1">
      <alignment horizontal="left" vertical="center"/>
      <protection locked="0"/>
    </xf>
    <xf numFmtId="174" fontId="2" fillId="0" borderId="3" xfId="1" applyNumberFormat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 vertical="center"/>
      <protection locked="0"/>
    </xf>
    <xf numFmtId="49" fontId="2" fillId="0" borderId="2" xfId="3" applyNumberFormat="1" applyFont="1" applyBorder="1" applyAlignment="1" applyProtection="1">
      <alignment horizontal="left" vertical="center" wrapText="1"/>
      <protection locked="0"/>
    </xf>
    <xf numFmtId="49" fontId="2" fillId="0" borderId="1" xfId="3" applyNumberFormat="1" applyFont="1" applyBorder="1" applyAlignment="1" applyProtection="1">
      <alignment horizontal="left" vertical="center" wrapText="1"/>
      <protection locked="0"/>
    </xf>
    <xf numFmtId="49" fontId="2" fillId="0" borderId="19" xfId="3" applyNumberFormat="1" applyFont="1" applyBorder="1" applyAlignment="1" applyProtection="1">
      <alignment horizontal="left" vertical="center" wrapText="1"/>
      <protection locked="0"/>
    </xf>
    <xf numFmtId="49" fontId="2" fillId="0" borderId="3" xfId="3" applyNumberFormat="1" applyFont="1" applyBorder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3" fillId="0" borderId="0" xfId="1" applyFont="1" applyAlignment="1">
      <alignment horizontal="right"/>
    </xf>
    <xf numFmtId="0" fontId="3" fillId="0" borderId="24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0" fontId="3" fillId="0" borderId="28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2" xfId="1" applyFont="1" applyBorder="1" applyAlignment="1">
      <alignment horizontal="center"/>
    </xf>
    <xf numFmtId="0" fontId="2" fillId="0" borderId="1" xfId="6" applyFont="1" applyBorder="1" applyAlignment="1" applyProtection="1">
      <alignment horizontal="center" vertical="center"/>
      <protection locked="0"/>
    </xf>
    <xf numFmtId="0" fontId="2" fillId="0" borderId="3" xfId="6" applyFont="1" applyBorder="1" applyAlignment="1" applyProtection="1">
      <alignment horizontal="center" vertical="center"/>
      <protection locked="0"/>
    </xf>
    <xf numFmtId="173" fontId="2" fillId="0" borderId="2" xfId="1" applyNumberFormat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center"/>
      <protection locked="0"/>
    </xf>
    <xf numFmtId="0" fontId="3" fillId="0" borderId="19" xfId="1" applyFont="1" applyBorder="1" applyAlignment="1" applyProtection="1">
      <alignment horizontal="center"/>
      <protection locked="0"/>
    </xf>
    <xf numFmtId="0" fontId="3" fillId="0" borderId="3" xfId="1" applyFont="1" applyBorder="1" applyAlignment="1" applyProtection="1">
      <alignment horizontal="center"/>
      <protection locked="0"/>
    </xf>
    <xf numFmtId="0" fontId="2" fillId="0" borderId="2" xfId="1" applyFont="1" applyBorder="1" applyAlignment="1" applyProtection="1">
      <alignment horizontal="center"/>
      <protection locked="0"/>
    </xf>
    <xf numFmtId="49" fontId="2" fillId="0" borderId="2" xfId="1" applyNumberFormat="1" applyFont="1" applyBorder="1" applyAlignment="1" applyProtection="1">
      <alignment horizontal="left" vertical="center"/>
      <protection locked="0"/>
    </xf>
    <xf numFmtId="49" fontId="2" fillId="0" borderId="1" xfId="1" applyNumberFormat="1" applyFont="1" applyBorder="1" applyAlignment="1" applyProtection="1">
      <alignment horizontal="left" vertical="center"/>
      <protection locked="0"/>
    </xf>
    <xf numFmtId="49" fontId="2" fillId="0" borderId="3" xfId="1" applyNumberFormat="1" applyFont="1" applyBorder="1" applyAlignment="1" applyProtection="1">
      <alignment horizontal="left" vertical="center"/>
      <protection locked="0"/>
    </xf>
    <xf numFmtId="0" fontId="2" fillId="0" borderId="1" xfId="1" applyFont="1" applyBorder="1" applyAlignment="1">
      <alignment horizontal="left"/>
    </xf>
    <xf numFmtId="0" fontId="2" fillId="0" borderId="19" xfId="1" applyFont="1" applyBorder="1" applyAlignment="1">
      <alignment horizontal="left"/>
    </xf>
    <xf numFmtId="0" fontId="2" fillId="0" borderId="3" xfId="1" applyFont="1" applyBorder="1" applyAlignment="1">
      <alignment horizontal="left"/>
    </xf>
    <xf numFmtId="49" fontId="2" fillId="0" borderId="19" xfId="1" applyNumberFormat="1" applyFont="1" applyBorder="1" applyAlignment="1" applyProtection="1">
      <alignment horizontal="left" vertical="center"/>
      <protection locked="0"/>
    </xf>
    <xf numFmtId="0" fontId="3" fillId="0" borderId="2" xfId="1" applyFont="1" applyBorder="1" applyAlignment="1">
      <alignment horizontal="center" vertical="center" wrapText="1"/>
    </xf>
    <xf numFmtId="0" fontId="2" fillId="0" borderId="1" xfId="1" applyFont="1" applyBorder="1" applyAlignment="1" applyProtection="1">
      <alignment horizontal="left"/>
      <protection locked="0"/>
    </xf>
    <xf numFmtId="0" fontId="2" fillId="0" borderId="19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/>
      <protection locked="0"/>
    </xf>
    <xf numFmtId="0" fontId="2" fillId="0" borderId="0" xfId="1" applyFont="1" applyAlignment="1">
      <alignment horizontal="left" vertical="center"/>
    </xf>
    <xf numFmtId="0" fontId="4" fillId="0" borderId="0" xfId="8" applyFont="1" applyAlignment="1">
      <alignment horizontal="center"/>
    </xf>
    <xf numFmtId="0" fontId="4" fillId="0" borderId="4" xfId="8" applyFont="1" applyBorder="1" applyAlignment="1">
      <alignment horizontal="center" wrapText="1"/>
    </xf>
    <xf numFmtId="0" fontId="3" fillId="0" borderId="2" xfId="8" applyFont="1" applyBorder="1" applyAlignment="1">
      <alignment horizontal="center" vertic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0" fontId="2" fillId="0" borderId="20" xfId="1" applyFont="1" applyBorder="1" applyAlignment="1" applyProtection="1">
      <alignment horizontal="left" vertical="top" wrapText="1"/>
      <protection locked="0"/>
    </xf>
    <xf numFmtId="0" fontId="2" fillId="0" borderId="21" xfId="1" applyFont="1" applyBorder="1" applyAlignment="1" applyProtection="1">
      <alignment horizontal="left" vertical="top" wrapText="1"/>
      <protection locked="0"/>
    </xf>
    <xf numFmtId="0" fontId="2" fillId="0" borderId="22" xfId="1" applyFont="1" applyBorder="1" applyAlignment="1" applyProtection="1">
      <alignment horizontal="left" vertical="top" wrapText="1"/>
      <protection locked="0"/>
    </xf>
    <xf numFmtId="0" fontId="2" fillId="0" borderId="23" xfId="1" applyFont="1" applyBorder="1" applyAlignment="1" applyProtection="1">
      <alignment horizontal="left" vertical="top" wrapText="1"/>
      <protection locked="0"/>
    </xf>
    <xf numFmtId="0" fontId="2" fillId="0" borderId="0" xfId="1" applyFont="1" applyAlignment="1" applyProtection="1">
      <alignment horizontal="left" vertical="top" wrapText="1"/>
      <protection locked="0"/>
    </xf>
    <xf numFmtId="0" fontId="2" fillId="0" borderId="24" xfId="1" applyFont="1" applyBorder="1" applyAlignment="1" applyProtection="1">
      <alignment horizontal="left" vertical="top" wrapText="1"/>
      <protection locked="0"/>
    </xf>
    <xf numFmtId="0" fontId="2" fillId="0" borderId="25" xfId="1" applyFont="1" applyBorder="1" applyAlignment="1" applyProtection="1">
      <alignment horizontal="left" vertical="top" wrapText="1"/>
      <protection locked="0"/>
    </xf>
    <xf numFmtId="0" fontId="2" fillId="0" borderId="4" xfId="1" applyFont="1" applyBorder="1" applyAlignment="1" applyProtection="1">
      <alignment horizontal="left" vertical="top" wrapText="1"/>
      <protection locked="0"/>
    </xf>
    <xf numFmtId="0" fontId="2" fillId="0" borderId="26" xfId="1" applyFont="1" applyBorder="1" applyAlignment="1" applyProtection="1">
      <alignment horizontal="left" vertical="top" wrapText="1"/>
      <protection locked="0"/>
    </xf>
    <xf numFmtId="49" fontId="2" fillId="0" borderId="1" xfId="8" applyNumberFormat="1" applyFont="1" applyBorder="1" applyAlignment="1" applyProtection="1">
      <alignment horizontal="left" vertical="center"/>
      <protection locked="0"/>
    </xf>
    <xf numFmtId="49" fontId="2" fillId="0" borderId="3" xfId="8" applyNumberFormat="1" applyFont="1" applyBorder="1" applyAlignment="1" applyProtection="1">
      <alignment horizontal="left" vertical="center"/>
      <protection locked="0"/>
    </xf>
    <xf numFmtId="0" fontId="2" fillId="0" borderId="2" xfId="8" applyFont="1" applyBorder="1" applyAlignment="1">
      <alignment horizontal="center" vertical="center" wrapText="1"/>
    </xf>
    <xf numFmtId="9" fontId="2" fillId="0" borderId="2" xfId="4" applyFont="1" applyBorder="1" applyAlignment="1" applyProtection="1">
      <alignment horizontal="center"/>
    </xf>
    <xf numFmtId="0" fontId="2" fillId="0" borderId="0" xfId="8" applyFont="1" applyAlignment="1">
      <alignment horizontal="right"/>
    </xf>
    <xf numFmtId="0" fontId="3" fillId="0" borderId="0" xfId="8" applyFont="1" applyAlignment="1">
      <alignment horizontal="right"/>
    </xf>
    <xf numFmtId="0" fontId="3" fillId="0" borderId="4" xfId="8" applyFont="1" applyBorder="1" applyAlignment="1">
      <alignment horizontal="center"/>
    </xf>
    <xf numFmtId="0" fontId="3" fillId="0" borderId="4" xfId="8" applyFont="1" applyBorder="1" applyAlignment="1">
      <alignment horizontal="center" wrapText="1"/>
    </xf>
    <xf numFmtId="0" fontId="2" fillId="0" borderId="2" xfId="8" applyFont="1" applyBorder="1" applyAlignment="1">
      <alignment horizontal="center" vertical="center"/>
    </xf>
    <xf numFmtId="0" fontId="3" fillId="0" borderId="24" xfId="8" applyFont="1" applyBorder="1" applyAlignment="1">
      <alignment horizontal="right"/>
    </xf>
    <xf numFmtId="0" fontId="3" fillId="0" borderId="0" xfId="8" applyFont="1" applyAlignment="1">
      <alignment horizontal="center"/>
    </xf>
    <xf numFmtId="0" fontId="4" fillId="0" borderId="24" xfId="8" applyFont="1" applyBorder="1" applyAlignment="1">
      <alignment horizontal="right"/>
    </xf>
    <xf numFmtId="0" fontId="3" fillId="0" borderId="0" xfId="8" applyFont="1" applyAlignment="1">
      <alignment horizontal="center" wrapText="1"/>
    </xf>
    <xf numFmtId="0" fontId="3" fillId="0" borderId="21" xfId="8" applyFont="1" applyBorder="1" applyAlignment="1">
      <alignment horizontal="right"/>
    </xf>
    <xf numFmtId="0" fontId="2" fillId="0" borderId="2" xfId="6" applyFont="1" applyBorder="1" applyAlignment="1" applyProtection="1">
      <alignment horizontal="center" vertical="center"/>
      <protection locked="0"/>
    </xf>
  </cellXfs>
  <cellStyles count="9">
    <cellStyle name="Excel Built-in Note" xfId="7" xr:uid="{91FF276C-D2BB-4D13-AE0F-934C1F8C4E3E}"/>
    <cellStyle name="Hyperlink 2" xfId="5" xr:uid="{D64480F1-9811-4F0C-8A85-A547ED705264}"/>
    <cellStyle name="Normal" xfId="0" builtinId="0"/>
    <cellStyle name="Normal 2" xfId="1" xr:uid="{1B4EFEE0-3C17-42B9-935D-F94FA71BDAAB}"/>
    <cellStyle name="Normal 3" xfId="3" xr:uid="{F0DDEF51-B782-488D-81C2-11AB1477AB29}"/>
    <cellStyle name="Normal 3 2" xfId="6" xr:uid="{D6A9980D-931D-487C-A979-B1871D60026E}"/>
    <cellStyle name="Normal 6" xfId="8" xr:uid="{460C0E9D-698E-4C86-97F7-62AD9124FB88}"/>
    <cellStyle name="Percent" xfId="2" builtinId="5"/>
    <cellStyle name="Percent 2" xfId="4" xr:uid="{039087BE-733C-4010-84E1-F9BF34F2B121}"/>
  </cellStyles>
  <dxfs count="88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Quant!$G$250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F-448D-BA9E-D5222FE1EC9E}"/>
            </c:ext>
          </c:extLst>
        </c:ser>
        <c:ser>
          <c:idx val="1"/>
          <c:order val="1"/>
          <c:tx>
            <c:strRef>
              <c:f>Quant!$X$251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F-448D-BA9E-D5222FE1EC9E}"/>
            </c:ext>
          </c:extLst>
        </c:ser>
        <c:ser>
          <c:idx val="2"/>
          <c:order val="2"/>
          <c:tx>
            <c:strRef>
              <c:f>Quant!$Y$251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F-448D-BA9E-D5222FE1EC9E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F-448D-BA9E-D5222FE1E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48C-4981-A79A-530A5B0F0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251-49E3-B210-67F489A90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Quant!$F$299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C679-4A1B-B785-54F00C333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Quant!$G$299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886-4673-8771-AB2AFCE32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3-4BDA-8768-AA8ED69BD950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3-4BDA-8768-AA8ED69BD950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3-4BDA-8768-AA8ED69BD950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3-4BDA-8768-AA8ED69BD950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3-4BDA-8768-AA8ED69BD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256703"/>
        <c:axId val="1917257183"/>
      </c:scatterChart>
      <c:valAx>
        <c:axId val="191725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7183"/>
        <c:crosses val="autoZero"/>
        <c:crossBetween val="midCat"/>
      </c:valAx>
      <c:valAx>
        <c:axId val="191725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6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3C-4C74-A998-3B9C67661C27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3C-4C74-A998-3B9C67661C27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C-4C74-A998-3B9C67661C27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3C-4C74-A998-3B9C67661C27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C-4C74-A998-3B9C67661C27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3C-4C74-A998-3B9C67661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726655"/>
        <c:axId val="575728095"/>
      </c:scatterChart>
      <c:valAx>
        <c:axId val="575726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8095"/>
        <c:crosses val="autoZero"/>
        <c:crossBetween val="midCat"/>
      </c:valAx>
      <c:valAx>
        <c:axId val="575728095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6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F2-49C2-A32A-B38A7923D127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F2-49C2-A32A-B38A7923D127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F2-49C2-A32A-B38A7923D127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F2-49C2-A32A-B38A7923D127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F2-49C2-A32A-B38A7923D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6751807"/>
        <c:axId val="954888511"/>
      </c:scatterChart>
      <c:valAx>
        <c:axId val="6367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888511"/>
        <c:crosses val="autoZero"/>
        <c:crossBetween val="midCat"/>
      </c:valAx>
      <c:valAx>
        <c:axId val="95488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751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27-4E41-A7AF-1DE0DB6BB54D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7-4E41-A7AF-1DE0DB6BB54D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27-4E41-A7AF-1DE0DB6BB54D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7-4E41-A7AF-1DE0DB6BB54D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27-4E41-A7AF-1DE0DB6BB54D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7-4E41-A7AF-1DE0DB6B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8683919"/>
        <c:axId val="628684399"/>
      </c:scatterChart>
      <c:valAx>
        <c:axId val="62868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4399"/>
        <c:crosses val="autoZero"/>
        <c:crossBetween val="midCat"/>
      </c:valAx>
      <c:valAx>
        <c:axId val="6286843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03-48DE-BA96-D305C56756B1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03-48DE-BA96-D305C56756B1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03-48DE-BA96-D305C56756B1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03-48DE-BA96-D305C56756B1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03-48DE-BA96-D305C5675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866255"/>
        <c:axId val="968862415"/>
      </c:scatterChart>
      <c:valAx>
        <c:axId val="96886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2415"/>
        <c:crosses val="autoZero"/>
        <c:crossBetween val="midCat"/>
      </c:valAx>
      <c:valAx>
        <c:axId val="96886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5-4D8C-A08F-4B651E086FC6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35-4D8C-A08F-4B651E086FC6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35-4D8C-A08F-4B651E086FC6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35-4D8C-A08F-4B651E086FC6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35-4D8C-A08F-4B651E086FC6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35-4D8C-A08F-4B651E086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566575"/>
        <c:axId val="577888111"/>
      </c:scatterChart>
      <c:valAx>
        <c:axId val="96556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888111"/>
        <c:crosses val="autoZero"/>
        <c:crossBetween val="midCat"/>
      </c:valAx>
      <c:valAx>
        <c:axId val="57788811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566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Qual!$G$250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B-4592-869C-DE5C84E2D3BA}"/>
            </c:ext>
          </c:extLst>
        </c:ser>
        <c:ser>
          <c:idx val="1"/>
          <c:order val="1"/>
          <c:tx>
            <c:strRef>
              <c:f>Qual!$X$251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4B-4592-869C-DE5C84E2D3BA}"/>
            </c:ext>
          </c:extLst>
        </c:ser>
        <c:ser>
          <c:idx val="2"/>
          <c:order val="2"/>
          <c:tx>
            <c:strRef>
              <c:f>Qual!$Y$251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4B-4592-869C-DE5C84E2D3BA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4B-4592-869C-DE5C84E2D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D87-45F3-9464-F5678E3E1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781-48B4-B29F-EA4414F7E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Qual!$F$299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695-4996-AD84-E38016734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Qual!$G$299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95-4AAB-AAA8-9D304CEF6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hyperlink" Target="https://analyse-it.com/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188900</xdr:colOff>
      <xdr:row>1</xdr:row>
      <xdr:rowOff>49530</xdr:rowOff>
    </xdr:from>
    <xdr:to>
      <xdr:col>9</xdr:col>
      <xdr:colOff>523875</xdr:colOff>
      <xdr:row>1</xdr:row>
      <xdr:rowOff>203200</xdr:rowOff>
    </xdr:to>
    <xdr:pic>
      <xdr:nvPicPr>
        <xdr:cNvPr id="3" name="Picture 2">
          <a:hlinkClick xmlns:r="http://schemas.openxmlformats.org/officeDocument/2006/relationships" r:id="rId1" tooltip="https://analyse-it.com/"/>
          <a:extLst>
            <a:ext uri="{FF2B5EF4-FFF2-40B4-BE49-F238E27FC236}">
              <a16:creationId xmlns:a16="http://schemas.microsoft.com/office/drawing/2014/main" id="{E5ED550D-8A4E-5546-5F47-780CBA5730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41925" y="106680"/>
          <a:ext cx="1077925" cy="153670"/>
        </a:xfrm>
        <a:prstGeom prst="rect">
          <a:avLst/>
        </a:prstGeom>
        <a:solidFill>
          <a:schemeClr val="accent1">
            <a:alpha val="0"/>
          </a:scheme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6E6EE-68C8-493E-882D-1D0D8EB4B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E4A22E-7DF5-4DB0-A19A-FA82A97D5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E45263-05C0-4B41-8643-E5A7519DF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2A59A-2387-4E04-B811-438103145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9EFC3-0BA3-4404-9B03-5085578A5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1309AD-3D64-0C1C-DC9C-65B555330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E31B2D-3150-6A83-724C-C506A7837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A3D0D6-BA4B-D6B4-7145-F43A92363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CE59E2C-2A7B-81F3-2F6A-03E4D65C7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33106E-7052-4D9F-48D7-5F76CB64B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C700443-428A-9FF4-AF26-126BB7AD9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AF07D-3B41-49E5-878C-6276CAF0A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925405-2A15-45FF-A68D-4DBA0DDD9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661D0C-0F97-40BD-8649-7F06C0A06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CD4127-F988-46FD-B3B0-1B5886DC4C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20E046-DA13-4DA2-8340-DB4D13EE6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B589E-1CC8-4528-A03A-D65DF777ADF2}" name="CmpTbl2129" displayName="CmpTbl2129" ref="O60:T160" totalsRowShown="0" headerRowDxfId="87" dataDxfId="86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DFAEC2F-4C9C-41D2-A34A-6BD7E781B57A}" name="X R1" dataDxfId="85">
      <calculatedColumnFormula>IF($J61="INCLUDE",E61,"")</calculatedColumnFormula>
    </tableColumn>
    <tableColumn id="2" xr3:uid="{27380139-292E-4253-9C85-5325FD6453B9}" name="X R2" dataDxfId="84">
      <calculatedColumnFormula>IF(AND($J61="INCLUDE",ISNUMBER(F61)),F61,"")</calculatedColumnFormula>
    </tableColumn>
    <tableColumn id="3" xr3:uid="{8BB43890-C64D-4A84-BE3D-3035988128E4}" name="Mean X" dataDxfId="83">
      <calculatedColumnFormula>IF($J61="INCLUDE",AVERAGE(O61:P61),"")</calculatedColumnFormula>
    </tableColumn>
    <tableColumn id="4" xr3:uid="{4CDC5716-BC08-4422-A573-D33615297E25}" name="Y R1" dataDxfId="82">
      <calculatedColumnFormula>IF($J61="INCLUDE",H61,"")</calculatedColumnFormula>
    </tableColumn>
    <tableColumn id="5" xr3:uid="{70849618-B730-4A2B-AA59-E9FFED150EE9}" name="Y R2" dataDxfId="81">
      <calculatedColumnFormula>IF(AND($J61="INCLUDE",ISNUMBER(I61)),I61,"")</calculatedColumnFormula>
    </tableColumn>
    <tableColumn id="6" xr3:uid="{76DC514B-4C58-4B78-87DE-5C11B9751CDB}" name="Mean Y" dataDxfId="80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510BB1-94EE-4AEA-A532-2F7527FE0769}" name="CmpTbl21294" displayName="CmpTbl21294" ref="O60:T160" totalsRowShown="0" headerRowDxfId="79" dataDxfId="78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078D9E7-442C-4356-92B9-9CA9F4277069}" name="X R1" dataDxfId="77">
      <calculatedColumnFormula>IF($J61="INCLUDE",E61,"")</calculatedColumnFormula>
    </tableColumn>
    <tableColumn id="2" xr3:uid="{A0812B28-86F0-4E50-9079-433FB4E92A47}" name="X R2" dataDxfId="76">
      <calculatedColumnFormula>IF(AND($J61="INCLUDE",ISNUMBER(F61)),F61,"")</calculatedColumnFormula>
    </tableColumn>
    <tableColumn id="3" xr3:uid="{C6C86A91-5895-493A-A3D6-8BEACEA0A0E2}" name="Mean X" dataDxfId="75">
      <calculatedColumnFormula>IF($J61="INCLUDE",AVERAGE(O61:P61),"")</calculatedColumnFormula>
    </tableColumn>
    <tableColumn id="4" xr3:uid="{0E5ECF79-735A-4EAF-A3CD-41A269AEE8D3}" name="Y R1" dataDxfId="74">
      <calculatedColumnFormula>IF($J61="INCLUDE",H61,"")</calculatedColumnFormula>
    </tableColumn>
    <tableColumn id="5" xr3:uid="{36D2F214-5D66-4445-8595-3B77A8BB9685}" name="Y R2" dataDxfId="73">
      <calculatedColumnFormula>IF(AND($J61="INCLUDE",ISNUMBER(I61)),I61,"")</calculatedColumnFormula>
    </tableColumn>
    <tableColumn id="6" xr3:uid="{D5667CBB-D87F-4955-8D08-27AA043C1F8A}" name="Mean Y" dataDxfId="72">
      <calculatedColumnFormula>IF($J61="INCLUDE",AVERAGE(R61:S61),"")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270418-0182-406C-B9FC-C3F3D750BC5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opLeftCell="C1" workbookViewId="0">
      <selection activeCell="L14" sqref="L14"/>
    </sheetView>
  </sheetViews>
  <sheetFormatPr defaultRowHeight="15" x14ac:dyDescent="0.25"/>
  <cols>
    <col min="1" max="1" width="15.5703125" customWidth="1"/>
    <col min="17" max="17" width="12" bestFit="1" customWidth="1"/>
  </cols>
  <sheetData>
    <row r="1" spans="1:19" x14ac:dyDescent="0.25">
      <c r="B1" t="s">
        <v>0</v>
      </c>
      <c r="D1" t="s">
        <v>1</v>
      </c>
    </row>
    <row r="2" spans="1:19" x14ac:dyDescent="0.25">
      <c r="A2" t="s">
        <v>2</v>
      </c>
      <c r="B2" t="s">
        <v>3</v>
      </c>
      <c r="C2" t="s">
        <v>4</v>
      </c>
      <c r="D2" t="s">
        <v>3</v>
      </c>
      <c r="E2" t="s">
        <v>4</v>
      </c>
      <c r="G2" t="s">
        <v>5</v>
      </c>
      <c r="H2" t="s">
        <v>6</v>
      </c>
      <c r="N2" t="s">
        <v>22</v>
      </c>
      <c r="O2" t="s">
        <v>21</v>
      </c>
      <c r="P2" t="s">
        <v>549</v>
      </c>
      <c r="Q2" t="s">
        <v>552</v>
      </c>
      <c r="R2" t="s">
        <v>553</v>
      </c>
      <c r="S2" t="s">
        <v>556</v>
      </c>
    </row>
    <row r="3" spans="1:19" x14ac:dyDescent="0.25">
      <c r="A3">
        <v>2229705716</v>
      </c>
      <c r="B3">
        <v>10583</v>
      </c>
      <c r="C3">
        <v>10172</v>
      </c>
      <c r="D3">
        <v>10737</v>
      </c>
      <c r="E3">
        <v>10746</v>
      </c>
      <c r="G3">
        <f>AVERAGE(B3:C3)</f>
        <v>10377.5</v>
      </c>
      <c r="H3">
        <f>AVERAGE(D3:E3)</f>
        <v>10741.5</v>
      </c>
      <c r="K3" cm="1">
        <f t="array" ref="K3:L7">LINEST(O3:O42,N3:N42,TRUE,TRUE)</f>
        <v>0.99761242622859936</v>
      </c>
      <c r="L3">
        <v>79.560038696738047</v>
      </c>
      <c r="N3">
        <v>10583</v>
      </c>
      <c r="O3">
        <v>10737</v>
      </c>
      <c r="P3">
        <f>($K$3*N3)+$L$3</f>
        <v>10637.292345474005</v>
      </c>
      <c r="Q3">
        <f>(N3-$L$10)^2</f>
        <v>36667566.390625</v>
      </c>
      <c r="R3">
        <f>(O3-$L$11)^2</f>
        <v>37707275.390625</v>
      </c>
      <c r="S3">
        <f>(O3-P3)^2</f>
        <v>9941.6163710752044</v>
      </c>
    </row>
    <row r="4" spans="1:19" x14ac:dyDescent="0.25">
      <c r="A4">
        <v>2229706564</v>
      </c>
      <c r="B4">
        <v>3879</v>
      </c>
      <c r="C4">
        <v>4233</v>
      </c>
      <c r="D4">
        <v>3934</v>
      </c>
      <c r="E4">
        <v>3763</v>
      </c>
      <c r="G4">
        <f t="shared" ref="G4:G42" si="0">AVERAGE(B4:C4)</f>
        <v>4056</v>
      </c>
      <c r="H4">
        <f t="shared" ref="H4:H42" si="1">AVERAGE(D4:E4)</f>
        <v>3848.5</v>
      </c>
      <c r="K4">
        <v>4.627813139684812E-3</v>
      </c>
      <c r="L4">
        <v>26.97544394401671</v>
      </c>
      <c r="N4">
        <v>3879</v>
      </c>
      <c r="O4">
        <v>3934</v>
      </c>
      <c r="P4">
        <f t="shared" ref="P4:P42" si="2">($K$3*N4)+$L$3</f>
        <v>3949.2986400374748</v>
      </c>
      <c r="Q4">
        <f t="shared" ref="Q4:Q42" si="3">(N4-$L$10)^2</f>
        <v>420714.390625</v>
      </c>
      <c r="R4">
        <f t="shared" ref="R4:R42" si="4">(O4-$L$11)^2</f>
        <v>438740.640625</v>
      </c>
      <c r="S4">
        <f t="shared" ref="S4:S42" si="5">(O4-P4)^2</f>
        <v>234.04838699622687</v>
      </c>
    </row>
    <row r="5" spans="1:19" x14ac:dyDescent="0.25">
      <c r="A5">
        <v>2229804242</v>
      </c>
      <c r="B5">
        <v>2674</v>
      </c>
      <c r="C5">
        <v>2634</v>
      </c>
      <c r="D5">
        <v>2679</v>
      </c>
      <c r="E5">
        <v>2632</v>
      </c>
      <c r="G5">
        <f t="shared" si="0"/>
        <v>2654</v>
      </c>
      <c r="H5">
        <f t="shared" si="1"/>
        <v>2655.5</v>
      </c>
      <c r="K5">
        <v>0.99918293513733369</v>
      </c>
      <c r="L5">
        <v>107.45161955278108</v>
      </c>
      <c r="N5">
        <v>2674</v>
      </c>
      <c r="O5">
        <v>2679</v>
      </c>
      <c r="P5">
        <f t="shared" si="2"/>
        <v>2747.1756664320128</v>
      </c>
      <c r="Q5">
        <f t="shared" si="3"/>
        <v>3435925.640625</v>
      </c>
      <c r="R5">
        <f t="shared" si="4"/>
        <v>3676326.890625</v>
      </c>
      <c r="S5">
        <f t="shared" si="5"/>
        <v>4647.9214934490774</v>
      </c>
    </row>
    <row r="6" spans="1:19" x14ac:dyDescent="0.25">
      <c r="A6">
        <v>2229801511</v>
      </c>
      <c r="B6">
        <v>4865</v>
      </c>
      <c r="C6">
        <v>4629</v>
      </c>
      <c r="D6">
        <v>4932</v>
      </c>
      <c r="E6">
        <v>5449</v>
      </c>
      <c r="G6">
        <f t="shared" si="0"/>
        <v>4747</v>
      </c>
      <c r="H6">
        <f t="shared" si="1"/>
        <v>5190.5</v>
      </c>
      <c r="K6">
        <v>46469.935582975995</v>
      </c>
      <c r="L6">
        <v>38</v>
      </c>
      <c r="N6">
        <v>4865</v>
      </c>
      <c r="O6">
        <v>4932</v>
      </c>
      <c r="P6">
        <f t="shared" si="2"/>
        <v>4932.9444922988741</v>
      </c>
      <c r="Q6">
        <f t="shared" si="3"/>
        <v>113821.890625</v>
      </c>
      <c r="R6">
        <f t="shared" si="4"/>
        <v>112644.140625</v>
      </c>
      <c r="S6">
        <f t="shared" si="5"/>
        <v>0.89206570263255447</v>
      </c>
    </row>
    <row r="7" spans="1:19" x14ac:dyDescent="0.25">
      <c r="A7">
        <v>2229805263</v>
      </c>
      <c r="B7">
        <v>1471</v>
      </c>
      <c r="C7">
        <v>1448</v>
      </c>
      <c r="D7">
        <v>1546</v>
      </c>
      <c r="E7">
        <v>1563</v>
      </c>
      <c r="G7">
        <f t="shared" si="0"/>
        <v>1459.5</v>
      </c>
      <c r="H7">
        <f t="shared" si="1"/>
        <v>1554.5</v>
      </c>
      <c r="K7">
        <v>536534931.05430841</v>
      </c>
      <c r="L7">
        <v>438742.32069159293</v>
      </c>
      <c r="N7">
        <v>1471</v>
      </c>
      <c r="O7">
        <v>1546</v>
      </c>
      <c r="P7">
        <f t="shared" si="2"/>
        <v>1547.0479176790077</v>
      </c>
      <c r="Q7">
        <f t="shared" si="3"/>
        <v>9342956.390625</v>
      </c>
      <c r="R7">
        <f t="shared" si="4"/>
        <v>9304787.640625</v>
      </c>
      <c r="S7">
        <f t="shared" si="5"/>
        <v>1.0981314619768772</v>
      </c>
    </row>
    <row r="8" spans="1:19" x14ac:dyDescent="0.25">
      <c r="A8">
        <v>2229805226</v>
      </c>
      <c r="B8">
        <v>6018</v>
      </c>
      <c r="C8">
        <v>5742</v>
      </c>
      <c r="D8">
        <v>5985</v>
      </c>
      <c r="E8">
        <v>6065</v>
      </c>
      <c r="G8">
        <f t="shared" si="0"/>
        <v>5880</v>
      </c>
      <c r="H8">
        <f t="shared" si="1"/>
        <v>6025</v>
      </c>
      <c r="N8">
        <v>6018</v>
      </c>
      <c r="O8">
        <v>5985</v>
      </c>
      <c r="P8">
        <f t="shared" si="2"/>
        <v>6083.1916197404489</v>
      </c>
      <c r="Q8">
        <f t="shared" si="3"/>
        <v>2221217.640625</v>
      </c>
      <c r="R8">
        <f t="shared" si="4"/>
        <v>1928279.390625</v>
      </c>
      <c r="S8">
        <f t="shared" si="5"/>
        <v>9641.5941872529165</v>
      </c>
    </row>
    <row r="9" spans="1:19" x14ac:dyDescent="0.25">
      <c r="A9">
        <v>2229804358</v>
      </c>
      <c r="B9">
        <v>3891</v>
      </c>
      <c r="C9">
        <v>3851</v>
      </c>
      <c r="D9">
        <v>3922</v>
      </c>
      <c r="E9">
        <v>3801</v>
      </c>
      <c r="G9">
        <f t="shared" si="0"/>
        <v>3871</v>
      </c>
      <c r="H9">
        <f t="shared" si="1"/>
        <v>3861.5</v>
      </c>
      <c r="N9">
        <v>3891</v>
      </c>
      <c r="O9">
        <v>3922</v>
      </c>
      <c r="P9">
        <f t="shared" si="2"/>
        <v>3961.2699891522179</v>
      </c>
      <c r="Q9">
        <f t="shared" si="3"/>
        <v>405291.390625</v>
      </c>
      <c r="R9">
        <f t="shared" si="4"/>
        <v>454781.640625</v>
      </c>
      <c r="S9">
        <f t="shared" si="5"/>
        <v>1542.132048015314</v>
      </c>
    </row>
    <row r="10" spans="1:19" x14ac:dyDescent="0.25">
      <c r="A10">
        <v>2229803634</v>
      </c>
      <c r="B10">
        <v>2519</v>
      </c>
      <c r="C10">
        <v>2403</v>
      </c>
      <c r="D10">
        <v>2593</v>
      </c>
      <c r="E10">
        <v>2474</v>
      </c>
      <c r="G10">
        <f t="shared" si="0"/>
        <v>2461</v>
      </c>
      <c r="H10">
        <f t="shared" si="1"/>
        <v>2533.5</v>
      </c>
      <c r="K10" t="s">
        <v>550</v>
      </c>
      <c r="L10">
        <f>AVERAGE(N3:N42)</f>
        <v>4527.625</v>
      </c>
      <c r="N10">
        <v>2519</v>
      </c>
      <c r="O10">
        <v>2593</v>
      </c>
      <c r="P10">
        <f t="shared" si="2"/>
        <v>2592.54574036658</v>
      </c>
      <c r="Q10">
        <f t="shared" si="3"/>
        <v>4034574.390625</v>
      </c>
      <c r="R10">
        <f t="shared" si="4"/>
        <v>4013511.390625</v>
      </c>
      <c r="S10">
        <f t="shared" si="5"/>
        <v>0.20635181455482879</v>
      </c>
    </row>
    <row r="11" spans="1:19" x14ac:dyDescent="0.25">
      <c r="A11">
        <v>2229804436</v>
      </c>
      <c r="B11">
        <v>1867</v>
      </c>
      <c r="C11">
        <v>1737</v>
      </c>
      <c r="D11">
        <v>1880</v>
      </c>
      <c r="E11">
        <v>1836</v>
      </c>
      <c r="G11">
        <f t="shared" si="0"/>
        <v>1802</v>
      </c>
      <c r="H11">
        <f t="shared" si="1"/>
        <v>1858</v>
      </c>
      <c r="K11" t="s">
        <v>551</v>
      </c>
      <c r="L11">
        <f>AVERAGE(O3:O42)</f>
        <v>4596.375</v>
      </c>
      <c r="N11">
        <v>1867</v>
      </c>
      <c r="O11">
        <v>1880</v>
      </c>
      <c r="P11">
        <f t="shared" si="2"/>
        <v>1942.1024384655329</v>
      </c>
      <c r="Q11">
        <f t="shared" si="3"/>
        <v>7078925.390625</v>
      </c>
      <c r="R11">
        <f t="shared" si="4"/>
        <v>7378693.140625</v>
      </c>
      <c r="S11">
        <f t="shared" si="5"/>
        <v>3856.7128633653056</v>
      </c>
    </row>
    <row r="12" spans="1:19" x14ac:dyDescent="0.25">
      <c r="A12">
        <v>2229804060</v>
      </c>
      <c r="B12">
        <v>1565</v>
      </c>
      <c r="C12">
        <v>1650</v>
      </c>
      <c r="D12">
        <v>1622</v>
      </c>
      <c r="E12">
        <v>1650</v>
      </c>
      <c r="G12">
        <f t="shared" si="0"/>
        <v>1607.5</v>
      </c>
      <c r="H12">
        <f t="shared" si="1"/>
        <v>1636</v>
      </c>
      <c r="N12">
        <v>1565</v>
      </c>
      <c r="O12">
        <v>1622</v>
      </c>
      <c r="P12">
        <f t="shared" si="2"/>
        <v>1640.8234857444961</v>
      </c>
      <c r="Q12">
        <f t="shared" si="3"/>
        <v>8777146.890625</v>
      </c>
      <c r="R12">
        <f t="shared" si="4"/>
        <v>8846906.640625</v>
      </c>
      <c r="S12">
        <f t="shared" si="5"/>
        <v>354.32361557324828</v>
      </c>
    </row>
    <row r="13" spans="1:19" x14ac:dyDescent="0.25">
      <c r="A13">
        <v>2229803948</v>
      </c>
      <c r="B13">
        <v>4267</v>
      </c>
      <c r="C13">
        <v>4391</v>
      </c>
      <c r="D13">
        <v>4282</v>
      </c>
      <c r="E13">
        <v>4401</v>
      </c>
      <c r="G13">
        <f t="shared" si="0"/>
        <v>4329</v>
      </c>
      <c r="H13">
        <f t="shared" si="1"/>
        <v>4341.5</v>
      </c>
      <c r="N13">
        <v>4267</v>
      </c>
      <c r="O13">
        <v>4282</v>
      </c>
      <c r="P13">
        <f t="shared" si="2"/>
        <v>4336.3722614141716</v>
      </c>
      <c r="Q13">
        <f t="shared" si="3"/>
        <v>67925.390625</v>
      </c>
      <c r="R13">
        <f t="shared" si="4"/>
        <v>98831.640625</v>
      </c>
      <c r="S13">
        <f t="shared" si="5"/>
        <v>2956.3428112910128</v>
      </c>
    </row>
    <row r="14" spans="1:19" x14ac:dyDescent="0.25">
      <c r="A14">
        <v>2229802716</v>
      </c>
      <c r="B14">
        <v>7862</v>
      </c>
      <c r="C14">
        <v>7961</v>
      </c>
      <c r="D14">
        <v>8076</v>
      </c>
      <c r="E14">
        <v>8294</v>
      </c>
      <c r="G14">
        <f t="shared" si="0"/>
        <v>7911.5</v>
      </c>
      <c r="H14">
        <f t="shared" si="1"/>
        <v>8185</v>
      </c>
      <c r="K14">
        <f>K3+(_xlfn.T.INV(1-0.05/2,38)*K4)</f>
        <v>1.0069809441402524</v>
      </c>
      <c r="L14">
        <f>L3+(_xlfn.T.INV(1-0.05/2,38)*L4)</f>
        <v>134.16896998593998</v>
      </c>
      <c r="N14">
        <v>7862</v>
      </c>
      <c r="O14">
        <v>8076</v>
      </c>
      <c r="P14">
        <f t="shared" si="2"/>
        <v>7922.788933705986</v>
      </c>
      <c r="Q14">
        <f t="shared" si="3"/>
        <v>11118056.640625</v>
      </c>
      <c r="R14">
        <f t="shared" si="4"/>
        <v>12107790.140625</v>
      </c>
      <c r="S14">
        <f t="shared" si="5"/>
        <v>23473.630834948759</v>
      </c>
    </row>
    <row r="15" spans="1:19" x14ac:dyDescent="0.25">
      <c r="A15">
        <v>2229806103</v>
      </c>
      <c r="B15">
        <v>1831</v>
      </c>
      <c r="C15">
        <v>1766</v>
      </c>
      <c r="D15">
        <v>1813</v>
      </c>
      <c r="E15">
        <v>1694</v>
      </c>
      <c r="G15">
        <f t="shared" si="0"/>
        <v>1798.5</v>
      </c>
      <c r="H15">
        <f t="shared" si="1"/>
        <v>1753.5</v>
      </c>
      <c r="K15">
        <f>K3-(_xlfn.T.INV(1-0.05/2,38)*K4)</f>
        <v>0.98824390831694631</v>
      </c>
      <c r="L15">
        <f>L3-(_xlfn.T.INV(1-0.05/2,38)*L4)</f>
        <v>24.951107407536121</v>
      </c>
      <c r="N15">
        <v>1831</v>
      </c>
      <c r="O15">
        <v>1813</v>
      </c>
      <c r="P15">
        <f t="shared" si="2"/>
        <v>1906.1883911213035</v>
      </c>
      <c r="Q15">
        <f t="shared" si="3"/>
        <v>7271786.390625</v>
      </c>
      <c r="R15">
        <f t="shared" si="4"/>
        <v>7747176.390625</v>
      </c>
      <c r="S15">
        <f t="shared" si="5"/>
        <v>8684.076239777045</v>
      </c>
    </row>
    <row r="16" spans="1:19" x14ac:dyDescent="0.25">
      <c r="A16">
        <v>2229807634</v>
      </c>
      <c r="B16">
        <v>6651</v>
      </c>
      <c r="C16">
        <v>6357</v>
      </c>
      <c r="D16">
        <v>6805</v>
      </c>
      <c r="E16">
        <v>6781</v>
      </c>
      <c r="G16">
        <f t="shared" si="0"/>
        <v>6504</v>
      </c>
      <c r="H16">
        <f t="shared" si="1"/>
        <v>6793</v>
      </c>
      <c r="N16">
        <v>6651</v>
      </c>
      <c r="O16">
        <v>6805</v>
      </c>
      <c r="P16">
        <f t="shared" si="2"/>
        <v>6714.6802855431524</v>
      </c>
      <c r="Q16">
        <f t="shared" si="3"/>
        <v>4508721.390625</v>
      </c>
      <c r="R16">
        <f t="shared" si="4"/>
        <v>4878024.390625</v>
      </c>
      <c r="S16">
        <f t="shared" si="5"/>
        <v>8157.650819566481</v>
      </c>
    </row>
    <row r="17" spans="1:19" x14ac:dyDescent="0.25">
      <c r="A17">
        <v>2229903100</v>
      </c>
      <c r="B17">
        <v>9130</v>
      </c>
      <c r="C17">
        <v>9883</v>
      </c>
      <c r="D17">
        <v>9275</v>
      </c>
      <c r="E17">
        <v>8837</v>
      </c>
      <c r="G17">
        <f t="shared" si="0"/>
        <v>9506.5</v>
      </c>
      <c r="H17">
        <f t="shared" si="1"/>
        <v>9056</v>
      </c>
      <c r="N17">
        <v>9130</v>
      </c>
      <c r="O17">
        <v>9275</v>
      </c>
      <c r="P17">
        <f t="shared" si="2"/>
        <v>9187.7614901638499</v>
      </c>
      <c r="Q17">
        <f t="shared" si="3"/>
        <v>21181855.640625</v>
      </c>
      <c r="R17">
        <f t="shared" si="4"/>
        <v>21889531.890625</v>
      </c>
      <c r="S17">
        <f t="shared" si="5"/>
        <v>7610.5575984320603</v>
      </c>
    </row>
    <row r="18" spans="1:19" x14ac:dyDescent="0.25">
      <c r="A18">
        <v>2229903874</v>
      </c>
      <c r="B18">
        <v>4837</v>
      </c>
      <c r="C18">
        <v>4725</v>
      </c>
      <c r="D18">
        <v>4877</v>
      </c>
      <c r="E18">
        <v>4572</v>
      </c>
      <c r="G18">
        <f t="shared" si="0"/>
        <v>4781</v>
      </c>
      <c r="H18">
        <f t="shared" si="1"/>
        <v>4724.5</v>
      </c>
      <c r="N18">
        <v>4837</v>
      </c>
      <c r="O18">
        <v>4877</v>
      </c>
      <c r="P18">
        <f t="shared" si="2"/>
        <v>4905.0113443644732</v>
      </c>
      <c r="Q18">
        <f t="shared" si="3"/>
        <v>95712.890625</v>
      </c>
      <c r="R18">
        <f t="shared" si="4"/>
        <v>78750.390625</v>
      </c>
      <c r="S18">
        <f t="shared" si="5"/>
        <v>784.63541310510391</v>
      </c>
    </row>
    <row r="19" spans="1:19" x14ac:dyDescent="0.25">
      <c r="A19">
        <v>2229905006</v>
      </c>
      <c r="B19">
        <v>2059</v>
      </c>
      <c r="C19">
        <v>2185</v>
      </c>
      <c r="D19">
        <v>2146</v>
      </c>
      <c r="E19">
        <v>2121</v>
      </c>
      <c r="G19">
        <f t="shared" si="0"/>
        <v>2122</v>
      </c>
      <c r="H19">
        <f t="shared" si="1"/>
        <v>2133.5</v>
      </c>
      <c r="N19">
        <v>2059</v>
      </c>
      <c r="O19">
        <v>2146</v>
      </c>
      <c r="P19">
        <f t="shared" si="2"/>
        <v>2133.644024301424</v>
      </c>
      <c r="Q19">
        <f t="shared" si="3"/>
        <v>6094109.390625</v>
      </c>
      <c r="R19">
        <f t="shared" si="4"/>
        <v>6004337.640625</v>
      </c>
      <c r="S19">
        <f t="shared" si="5"/>
        <v>152.67013546380076</v>
      </c>
    </row>
    <row r="20" spans="1:19" x14ac:dyDescent="0.25">
      <c r="A20">
        <v>2230003011</v>
      </c>
      <c r="B20">
        <v>17052</v>
      </c>
      <c r="C20">
        <v>18666</v>
      </c>
      <c r="D20">
        <v>16905</v>
      </c>
      <c r="E20">
        <v>16248</v>
      </c>
      <c r="G20">
        <f t="shared" si="0"/>
        <v>17859</v>
      </c>
      <c r="H20">
        <f t="shared" si="1"/>
        <v>16576.5</v>
      </c>
      <c r="N20">
        <v>17052</v>
      </c>
      <c r="O20">
        <v>16905</v>
      </c>
      <c r="P20">
        <f t="shared" si="2"/>
        <v>17090.847130746813</v>
      </c>
      <c r="Q20">
        <f t="shared" si="3"/>
        <v>156859969.140625</v>
      </c>
      <c r="R20">
        <f t="shared" si="4"/>
        <v>151502249.390625</v>
      </c>
      <c r="S20">
        <f t="shared" si="5"/>
        <v>34539.156006823192</v>
      </c>
    </row>
    <row r="21" spans="1:19" x14ac:dyDescent="0.25">
      <c r="A21">
        <v>2230003937</v>
      </c>
      <c r="B21">
        <v>7365</v>
      </c>
      <c r="C21">
        <v>6763</v>
      </c>
      <c r="D21">
        <v>7259</v>
      </c>
      <c r="E21">
        <v>6954</v>
      </c>
      <c r="G21">
        <f t="shared" si="0"/>
        <v>7064</v>
      </c>
      <c r="H21">
        <f t="shared" si="1"/>
        <v>7106.5</v>
      </c>
      <c r="N21">
        <v>7365</v>
      </c>
      <c r="O21">
        <v>7259</v>
      </c>
      <c r="P21">
        <f t="shared" si="2"/>
        <v>7426.9755578703725</v>
      </c>
      <c r="Q21">
        <f t="shared" si="3"/>
        <v>8050696.890625</v>
      </c>
      <c r="R21">
        <f t="shared" si="4"/>
        <v>7089571.890625</v>
      </c>
      <c r="S21">
        <f t="shared" si="5"/>
        <v>28215.788041862874</v>
      </c>
    </row>
    <row r="22" spans="1:19" x14ac:dyDescent="0.25">
      <c r="A22">
        <v>2230106239</v>
      </c>
      <c r="B22">
        <v>940</v>
      </c>
      <c r="C22">
        <v>987</v>
      </c>
      <c r="D22">
        <v>996</v>
      </c>
      <c r="E22">
        <v>977</v>
      </c>
      <c r="G22">
        <f t="shared" si="0"/>
        <v>963.5</v>
      </c>
      <c r="H22">
        <f t="shared" si="1"/>
        <v>986.5</v>
      </c>
      <c r="N22">
        <v>940</v>
      </c>
      <c r="O22">
        <v>996</v>
      </c>
      <c r="P22">
        <f t="shared" si="2"/>
        <v>1017.3157193516214</v>
      </c>
      <c r="Q22">
        <f t="shared" si="3"/>
        <v>12871053.140625</v>
      </c>
      <c r="R22">
        <f t="shared" si="4"/>
        <v>12962700.140625</v>
      </c>
      <c r="S22">
        <f t="shared" si="5"/>
        <v>454.35989147708688</v>
      </c>
    </row>
    <row r="23" spans="1:19" x14ac:dyDescent="0.25">
      <c r="A23">
        <v>2230106308</v>
      </c>
      <c r="B23">
        <v>434</v>
      </c>
      <c r="C23">
        <v>383</v>
      </c>
      <c r="D23">
        <v>456</v>
      </c>
      <c r="E23">
        <v>506</v>
      </c>
      <c r="G23">
        <f t="shared" si="0"/>
        <v>408.5</v>
      </c>
      <c r="H23">
        <f t="shared" si="1"/>
        <v>481</v>
      </c>
      <c r="N23">
        <v>434</v>
      </c>
      <c r="O23">
        <v>456</v>
      </c>
      <c r="P23">
        <f t="shared" si="2"/>
        <v>512.52383167995015</v>
      </c>
      <c r="Q23">
        <f t="shared" si="3"/>
        <v>16757765.640625</v>
      </c>
      <c r="R23">
        <f t="shared" si="4"/>
        <v>17142705.140625</v>
      </c>
      <c r="S23">
        <f t="shared" si="5"/>
        <v>3194.9435477833363</v>
      </c>
    </row>
    <row r="24" spans="1:19" x14ac:dyDescent="0.25">
      <c r="A24">
        <v>2230104994</v>
      </c>
      <c r="B24">
        <v>5693</v>
      </c>
      <c r="C24">
        <v>5553</v>
      </c>
      <c r="D24">
        <v>5677</v>
      </c>
      <c r="E24">
        <v>5529</v>
      </c>
      <c r="G24">
        <f t="shared" si="0"/>
        <v>5623</v>
      </c>
      <c r="H24">
        <f t="shared" si="1"/>
        <v>5603</v>
      </c>
      <c r="N24">
        <v>5693</v>
      </c>
      <c r="O24">
        <v>5677</v>
      </c>
      <c r="P24">
        <f t="shared" si="2"/>
        <v>5758.967581216154</v>
      </c>
      <c r="Q24">
        <f t="shared" si="3"/>
        <v>1358098.890625</v>
      </c>
      <c r="R24">
        <f t="shared" si="4"/>
        <v>1167750.390625</v>
      </c>
      <c r="S24">
        <f t="shared" si="5"/>
        <v>6718.6843704268067</v>
      </c>
    </row>
    <row r="25" spans="1:19" x14ac:dyDescent="0.25">
      <c r="A25">
        <v>2230104292</v>
      </c>
      <c r="B25">
        <v>4987</v>
      </c>
      <c r="C25">
        <v>4860</v>
      </c>
      <c r="D25">
        <v>5071</v>
      </c>
      <c r="E25">
        <v>5021</v>
      </c>
      <c r="G25">
        <f t="shared" si="0"/>
        <v>4923.5</v>
      </c>
      <c r="H25">
        <f t="shared" si="1"/>
        <v>5046</v>
      </c>
      <c r="N25">
        <v>4987</v>
      </c>
      <c r="O25">
        <v>5071</v>
      </c>
      <c r="P25">
        <f t="shared" si="2"/>
        <v>5054.6532082987633</v>
      </c>
      <c r="Q25">
        <f t="shared" si="3"/>
        <v>211025.390625</v>
      </c>
      <c r="R25">
        <f t="shared" si="4"/>
        <v>225268.890625</v>
      </c>
      <c r="S25">
        <f t="shared" si="5"/>
        <v>267.21759892362189</v>
      </c>
    </row>
    <row r="26" spans="1:19" x14ac:dyDescent="0.25">
      <c r="A26">
        <v>2230106691</v>
      </c>
      <c r="B26">
        <v>2754</v>
      </c>
      <c r="C26">
        <v>2736</v>
      </c>
      <c r="D26">
        <v>2873</v>
      </c>
      <c r="E26">
        <v>2726</v>
      </c>
      <c r="G26">
        <f t="shared" si="0"/>
        <v>2745</v>
      </c>
      <c r="H26">
        <f t="shared" si="1"/>
        <v>2799.5</v>
      </c>
      <c r="N26">
        <v>2754</v>
      </c>
      <c r="O26">
        <v>2873</v>
      </c>
      <c r="P26">
        <f t="shared" si="2"/>
        <v>2826.9846605303005</v>
      </c>
      <c r="Q26">
        <f t="shared" si="3"/>
        <v>3145745.640625</v>
      </c>
      <c r="R26">
        <f t="shared" si="4"/>
        <v>2970021.390625</v>
      </c>
      <c r="S26">
        <f t="shared" si="5"/>
        <v>2117.4114665116831</v>
      </c>
    </row>
    <row r="27" spans="1:19" x14ac:dyDescent="0.25">
      <c r="A27">
        <v>2230204176</v>
      </c>
      <c r="B27">
        <v>1725</v>
      </c>
      <c r="C27">
        <v>1752</v>
      </c>
      <c r="D27">
        <v>1775</v>
      </c>
      <c r="E27">
        <v>1668</v>
      </c>
      <c r="G27">
        <f t="shared" si="0"/>
        <v>1738.5</v>
      </c>
      <c r="H27">
        <f t="shared" si="1"/>
        <v>1721.5</v>
      </c>
      <c r="N27">
        <v>1725</v>
      </c>
      <c r="O27">
        <v>1775</v>
      </c>
      <c r="P27">
        <f t="shared" si="2"/>
        <v>1800.441473941072</v>
      </c>
      <c r="Q27">
        <f t="shared" si="3"/>
        <v>7854706.890625</v>
      </c>
      <c r="R27">
        <f t="shared" si="4"/>
        <v>7960156.890625</v>
      </c>
      <c r="S27">
        <f t="shared" si="5"/>
        <v>647.26859629424519</v>
      </c>
    </row>
    <row r="28" spans="1:19" x14ac:dyDescent="0.25">
      <c r="A28">
        <v>2231404848</v>
      </c>
      <c r="B28">
        <v>7192</v>
      </c>
      <c r="C28">
        <v>6922</v>
      </c>
      <c r="D28">
        <v>7454</v>
      </c>
      <c r="E28">
        <v>7641</v>
      </c>
      <c r="G28">
        <f t="shared" si="0"/>
        <v>7057</v>
      </c>
      <c r="H28">
        <f t="shared" si="1"/>
        <v>7547.5</v>
      </c>
      <c r="N28">
        <v>7192</v>
      </c>
      <c r="O28">
        <v>7454</v>
      </c>
      <c r="P28">
        <f t="shared" si="2"/>
        <v>7254.3886081328246</v>
      </c>
      <c r="Q28">
        <f t="shared" si="3"/>
        <v>7098894.140625</v>
      </c>
      <c r="R28">
        <f t="shared" si="4"/>
        <v>8166020.640625</v>
      </c>
      <c r="S28">
        <f t="shared" si="5"/>
        <v>39844.707763151047</v>
      </c>
    </row>
    <row r="29" spans="1:19" x14ac:dyDescent="0.25">
      <c r="A29">
        <v>2231406897</v>
      </c>
      <c r="B29">
        <v>3024</v>
      </c>
      <c r="C29">
        <v>2979</v>
      </c>
      <c r="D29">
        <v>3058</v>
      </c>
      <c r="E29">
        <v>2961</v>
      </c>
      <c r="G29">
        <f t="shared" si="0"/>
        <v>3001.5</v>
      </c>
      <c r="H29">
        <f t="shared" si="1"/>
        <v>3009.5</v>
      </c>
      <c r="N29">
        <v>3024</v>
      </c>
      <c r="O29">
        <v>3058</v>
      </c>
      <c r="P29">
        <f t="shared" si="2"/>
        <v>3096.3400156120224</v>
      </c>
      <c r="Q29">
        <f t="shared" si="3"/>
        <v>2260888.140625</v>
      </c>
      <c r="R29">
        <f t="shared" si="4"/>
        <v>2366597.640625</v>
      </c>
      <c r="S29">
        <f t="shared" si="5"/>
        <v>1469.9567971301212</v>
      </c>
    </row>
    <row r="30" spans="1:19" x14ac:dyDescent="0.25">
      <c r="A30">
        <v>2231407330</v>
      </c>
      <c r="B30">
        <v>903</v>
      </c>
      <c r="C30">
        <v>888</v>
      </c>
      <c r="D30">
        <v>954</v>
      </c>
      <c r="E30">
        <v>1019</v>
      </c>
      <c r="G30">
        <f t="shared" si="0"/>
        <v>895.5</v>
      </c>
      <c r="H30">
        <f t="shared" si="1"/>
        <v>986.5</v>
      </c>
      <c r="N30">
        <v>903</v>
      </c>
      <c r="O30">
        <v>954</v>
      </c>
      <c r="P30">
        <f t="shared" si="2"/>
        <v>980.40405958116332</v>
      </c>
      <c r="Q30">
        <f t="shared" si="3"/>
        <v>13137906.390625</v>
      </c>
      <c r="R30">
        <f t="shared" si="4"/>
        <v>13266895.640625</v>
      </c>
      <c r="S30">
        <f t="shared" si="5"/>
        <v>697.17436236562276</v>
      </c>
    </row>
    <row r="31" spans="1:19" x14ac:dyDescent="0.25">
      <c r="A31">
        <v>2231503109</v>
      </c>
      <c r="B31">
        <v>11962</v>
      </c>
      <c r="C31">
        <v>12349</v>
      </c>
      <c r="D31">
        <v>11793</v>
      </c>
      <c r="E31">
        <v>11631</v>
      </c>
      <c r="G31">
        <f t="shared" si="0"/>
        <v>12155.5</v>
      </c>
      <c r="H31">
        <f t="shared" si="1"/>
        <v>11712</v>
      </c>
      <c r="N31">
        <v>11962</v>
      </c>
      <c r="O31">
        <v>11793</v>
      </c>
      <c r="P31">
        <f t="shared" si="2"/>
        <v>12012.999881243244</v>
      </c>
      <c r="Q31">
        <f t="shared" si="3"/>
        <v>55269931.640625</v>
      </c>
      <c r="R31">
        <f t="shared" si="4"/>
        <v>51791411.390625</v>
      </c>
      <c r="S31">
        <f t="shared" si="5"/>
        <v>48399.9477470415</v>
      </c>
    </row>
    <row r="32" spans="1:19" x14ac:dyDescent="0.25">
      <c r="A32">
        <v>2231504117</v>
      </c>
      <c r="B32">
        <v>1295</v>
      </c>
      <c r="C32">
        <v>1286</v>
      </c>
      <c r="D32">
        <v>1347</v>
      </c>
      <c r="E32">
        <v>1485</v>
      </c>
      <c r="G32">
        <f t="shared" si="0"/>
        <v>1290.5</v>
      </c>
      <c r="H32">
        <f t="shared" si="1"/>
        <v>1416</v>
      </c>
      <c r="N32">
        <v>1295</v>
      </c>
      <c r="O32">
        <v>1347</v>
      </c>
      <c r="P32">
        <f t="shared" si="2"/>
        <v>1371.4681306627742</v>
      </c>
      <c r="Q32">
        <f t="shared" si="3"/>
        <v>10449864.390625</v>
      </c>
      <c r="R32">
        <f t="shared" si="4"/>
        <v>10558437.890625</v>
      </c>
      <c r="S32">
        <f t="shared" si="5"/>
        <v>598.68941813059246</v>
      </c>
    </row>
    <row r="33" spans="1:19" x14ac:dyDescent="0.25">
      <c r="A33">
        <v>2231502835</v>
      </c>
      <c r="B33">
        <v>948</v>
      </c>
      <c r="C33">
        <v>938</v>
      </c>
      <c r="D33">
        <v>1000</v>
      </c>
      <c r="E33">
        <v>997</v>
      </c>
      <c r="G33">
        <f t="shared" si="0"/>
        <v>943</v>
      </c>
      <c r="H33">
        <f t="shared" si="1"/>
        <v>998.5</v>
      </c>
      <c r="N33">
        <v>948</v>
      </c>
      <c r="O33">
        <v>1000</v>
      </c>
      <c r="P33">
        <f t="shared" si="2"/>
        <v>1025.2966187614502</v>
      </c>
      <c r="Q33">
        <f t="shared" si="3"/>
        <v>12813715.140625</v>
      </c>
      <c r="R33">
        <f t="shared" si="4"/>
        <v>12933913.140625</v>
      </c>
      <c r="S33">
        <f t="shared" si="5"/>
        <v>639.91892076215379</v>
      </c>
    </row>
    <row r="34" spans="1:19" x14ac:dyDescent="0.25">
      <c r="A34">
        <v>2231503694</v>
      </c>
      <c r="B34">
        <v>11643</v>
      </c>
      <c r="C34">
        <v>10982</v>
      </c>
      <c r="D34">
        <v>11982</v>
      </c>
      <c r="E34">
        <v>11415</v>
      </c>
      <c r="G34">
        <f t="shared" si="0"/>
        <v>11312.5</v>
      </c>
      <c r="H34">
        <f t="shared" si="1"/>
        <v>11698.5</v>
      </c>
      <c r="N34">
        <v>11643</v>
      </c>
      <c r="O34">
        <v>11982</v>
      </c>
      <c r="P34">
        <f t="shared" si="2"/>
        <v>11694.76151727632</v>
      </c>
      <c r="Q34">
        <f t="shared" si="3"/>
        <v>50628561.390625</v>
      </c>
      <c r="R34">
        <f t="shared" si="4"/>
        <v>54547456.640625</v>
      </c>
      <c r="S34">
        <f t="shared" si="5"/>
        <v>82505.945957401898</v>
      </c>
    </row>
    <row r="35" spans="1:19" x14ac:dyDescent="0.25">
      <c r="A35">
        <v>2231504139</v>
      </c>
      <c r="B35">
        <v>2687</v>
      </c>
      <c r="C35">
        <v>2713</v>
      </c>
      <c r="D35">
        <v>2777</v>
      </c>
      <c r="E35">
        <v>2881</v>
      </c>
      <c r="G35">
        <f t="shared" si="0"/>
        <v>2700</v>
      </c>
      <c r="H35">
        <f t="shared" si="1"/>
        <v>2829</v>
      </c>
      <c r="N35">
        <v>2687</v>
      </c>
      <c r="O35">
        <v>2777</v>
      </c>
      <c r="P35">
        <f t="shared" si="2"/>
        <v>2760.1446279729844</v>
      </c>
      <c r="Q35">
        <f t="shared" si="3"/>
        <v>3387900.390625</v>
      </c>
      <c r="R35">
        <f t="shared" si="4"/>
        <v>3310125.390625</v>
      </c>
      <c r="S35">
        <f t="shared" si="5"/>
        <v>284.10356616910065</v>
      </c>
    </row>
    <row r="36" spans="1:19" x14ac:dyDescent="0.25">
      <c r="A36">
        <v>2231503832</v>
      </c>
      <c r="B36">
        <v>3688</v>
      </c>
      <c r="C36">
        <v>3434</v>
      </c>
      <c r="D36">
        <v>3714</v>
      </c>
      <c r="E36">
        <v>3839</v>
      </c>
      <c r="G36">
        <f t="shared" si="0"/>
        <v>3561</v>
      </c>
      <c r="H36">
        <f t="shared" si="1"/>
        <v>3776.5</v>
      </c>
      <c r="N36">
        <v>3688</v>
      </c>
      <c r="O36">
        <v>3714</v>
      </c>
      <c r="P36">
        <f t="shared" si="2"/>
        <v>3758.7546666278126</v>
      </c>
      <c r="Q36">
        <f t="shared" si="3"/>
        <v>704970.140625</v>
      </c>
      <c r="R36">
        <f t="shared" si="4"/>
        <v>778585.640625</v>
      </c>
      <c r="S36">
        <f t="shared" si="5"/>
        <v>2002.9801849666464</v>
      </c>
    </row>
    <row r="37" spans="1:19" x14ac:dyDescent="0.25">
      <c r="A37">
        <v>2231503992</v>
      </c>
      <c r="B37">
        <v>1756</v>
      </c>
      <c r="C37">
        <v>1666</v>
      </c>
      <c r="D37">
        <v>1873</v>
      </c>
      <c r="E37">
        <v>1925</v>
      </c>
      <c r="G37">
        <f t="shared" si="0"/>
        <v>1711</v>
      </c>
      <c r="H37">
        <f t="shared" si="1"/>
        <v>1899</v>
      </c>
      <c r="N37">
        <v>1756</v>
      </c>
      <c r="O37">
        <v>1873</v>
      </c>
      <c r="P37">
        <f t="shared" si="2"/>
        <v>1831.3674591541585</v>
      </c>
      <c r="Q37">
        <f t="shared" si="3"/>
        <v>7681905.140625</v>
      </c>
      <c r="R37">
        <f t="shared" si="4"/>
        <v>7416771.390625</v>
      </c>
      <c r="S37">
        <f t="shared" si="5"/>
        <v>1733.2684572806613</v>
      </c>
    </row>
    <row r="38" spans="1:19" x14ac:dyDescent="0.25">
      <c r="A38">
        <v>2231506001</v>
      </c>
      <c r="B38">
        <v>989</v>
      </c>
      <c r="C38">
        <v>1023</v>
      </c>
      <c r="D38">
        <v>1062</v>
      </c>
      <c r="E38">
        <v>1022</v>
      </c>
      <c r="G38">
        <f t="shared" si="0"/>
        <v>1006</v>
      </c>
      <c r="H38">
        <f t="shared" si="1"/>
        <v>1042</v>
      </c>
      <c r="N38">
        <v>989</v>
      </c>
      <c r="O38">
        <v>1062</v>
      </c>
      <c r="P38">
        <f t="shared" si="2"/>
        <v>1066.1987282368227</v>
      </c>
      <c r="Q38">
        <f t="shared" si="3"/>
        <v>12521866.890625</v>
      </c>
      <c r="R38">
        <f t="shared" si="4"/>
        <v>12491806.640625</v>
      </c>
      <c r="S38">
        <f t="shared" si="5"/>
        <v>17.629318806692403</v>
      </c>
    </row>
    <row r="39" spans="1:19" x14ac:dyDescent="0.25">
      <c r="A39">
        <v>2231504468</v>
      </c>
      <c r="B39">
        <v>1182</v>
      </c>
      <c r="C39">
        <v>1179</v>
      </c>
      <c r="D39">
        <v>1570</v>
      </c>
      <c r="E39">
        <v>1662</v>
      </c>
      <c r="G39">
        <f t="shared" si="0"/>
        <v>1180.5</v>
      </c>
      <c r="H39">
        <f t="shared" si="1"/>
        <v>1616</v>
      </c>
      <c r="N39">
        <v>1182</v>
      </c>
      <c r="O39">
        <v>1570</v>
      </c>
      <c r="P39">
        <f t="shared" si="2"/>
        <v>1258.7379264989424</v>
      </c>
      <c r="Q39">
        <f t="shared" si="3"/>
        <v>11193206.640625</v>
      </c>
      <c r="R39">
        <f t="shared" si="4"/>
        <v>9158945.640625</v>
      </c>
      <c r="S39">
        <f t="shared" si="5"/>
        <v>96884.07840017775</v>
      </c>
    </row>
    <row r="40" spans="1:19" x14ac:dyDescent="0.25">
      <c r="A40">
        <v>2231602794</v>
      </c>
      <c r="B40">
        <v>9098</v>
      </c>
      <c r="C40">
        <v>8916</v>
      </c>
      <c r="D40">
        <v>9212</v>
      </c>
      <c r="E40">
        <v>9549</v>
      </c>
      <c r="G40">
        <f t="shared" si="0"/>
        <v>9007</v>
      </c>
      <c r="H40">
        <f t="shared" si="1"/>
        <v>9380.5</v>
      </c>
      <c r="N40">
        <v>9098</v>
      </c>
      <c r="O40">
        <v>9212</v>
      </c>
      <c r="P40">
        <f t="shared" si="2"/>
        <v>9155.8378925245343</v>
      </c>
      <c r="Q40">
        <f t="shared" si="3"/>
        <v>20888327.640625</v>
      </c>
      <c r="R40">
        <f t="shared" si="4"/>
        <v>21303994.140625</v>
      </c>
      <c r="S40">
        <f t="shared" si="5"/>
        <v>3154.1823160857653</v>
      </c>
    </row>
    <row r="41" spans="1:19" x14ac:dyDescent="0.25">
      <c r="A41">
        <v>2231603495</v>
      </c>
      <c r="B41">
        <v>4333</v>
      </c>
      <c r="C41">
        <v>4543</v>
      </c>
      <c r="D41">
        <v>4427</v>
      </c>
      <c r="E41">
        <v>4238</v>
      </c>
      <c r="G41">
        <f t="shared" si="0"/>
        <v>4438</v>
      </c>
      <c r="H41">
        <f t="shared" si="1"/>
        <v>4332.5</v>
      </c>
      <c r="N41">
        <v>4333</v>
      </c>
      <c r="O41">
        <v>4427</v>
      </c>
      <c r="P41">
        <f t="shared" si="2"/>
        <v>4402.2146815452588</v>
      </c>
      <c r="Q41">
        <f t="shared" si="3"/>
        <v>37878.890625</v>
      </c>
      <c r="R41">
        <f t="shared" si="4"/>
        <v>28687.890625</v>
      </c>
      <c r="S41">
        <f t="shared" si="5"/>
        <v>614.31201090293337</v>
      </c>
    </row>
    <row r="42" spans="1:19" x14ac:dyDescent="0.25">
      <c r="A42">
        <v>2231503532</v>
      </c>
      <c r="B42">
        <v>3486</v>
      </c>
      <c r="C42">
        <v>3726</v>
      </c>
      <c r="D42">
        <v>3516</v>
      </c>
      <c r="E42">
        <v>3101</v>
      </c>
      <c r="G42">
        <f t="shared" si="0"/>
        <v>3606</v>
      </c>
      <c r="H42">
        <f t="shared" si="1"/>
        <v>3308.5</v>
      </c>
      <c r="N42">
        <v>3486</v>
      </c>
      <c r="O42">
        <v>3516</v>
      </c>
      <c r="P42">
        <f t="shared" si="2"/>
        <v>3557.2369565296353</v>
      </c>
      <c r="Q42">
        <f t="shared" si="3"/>
        <v>1084982.640625</v>
      </c>
      <c r="R42">
        <f t="shared" si="4"/>
        <v>1167210.140625</v>
      </c>
      <c r="S42">
        <f t="shared" si="5"/>
        <v>1700.4865838270343</v>
      </c>
    </row>
    <row r="44" spans="1:19" x14ac:dyDescent="0.25">
      <c r="A44" t="s">
        <v>14</v>
      </c>
      <c r="Q44" t="s">
        <v>554</v>
      </c>
      <c r="R44" t="s">
        <v>555</v>
      </c>
      <c r="S44" t="s">
        <v>557</v>
      </c>
    </row>
    <row r="45" spans="1:19" x14ac:dyDescent="0.25">
      <c r="A45" t="s">
        <v>7</v>
      </c>
      <c r="B45" t="s">
        <v>8</v>
      </c>
      <c r="Q45">
        <f>SUM(Q3:Q42)</f>
        <v>539106169.375</v>
      </c>
      <c r="R45">
        <f t="shared" ref="R45:S45" si="6">SUM(R3:R42)</f>
        <v>536973673.375</v>
      </c>
      <c r="S45">
        <f t="shared" si="6"/>
        <v>438742.32069159311</v>
      </c>
    </row>
    <row r="46" spans="1:19" x14ac:dyDescent="0.25">
      <c r="A46" t="s">
        <v>9</v>
      </c>
      <c r="B46" t="s">
        <v>10</v>
      </c>
      <c r="C46" t="s">
        <v>11</v>
      </c>
    </row>
    <row r="47" spans="1:19" x14ac:dyDescent="0.25">
      <c r="A47" t="s">
        <v>12</v>
      </c>
      <c r="B47">
        <v>57.227950222991183</v>
      </c>
      <c r="C47">
        <v>-8.3780839929988549</v>
      </c>
      <c r="D47">
        <v>135.5327008807219</v>
      </c>
      <c r="P47" t="s">
        <v>558</v>
      </c>
      <c r="Q47">
        <f>SQRT(S45/Q45/38)</f>
        <v>4.6278131396848129E-3</v>
      </c>
    </row>
    <row r="48" spans="1:19" x14ac:dyDescent="0.25">
      <c r="A48" t="s">
        <v>13</v>
      </c>
      <c r="B48">
        <v>0.99879178404393099</v>
      </c>
      <c r="C48">
        <v>0.96284824941098179</v>
      </c>
      <c r="D48">
        <v>1.0290121189864121</v>
      </c>
    </row>
    <row r="51" spans="1:5" x14ac:dyDescent="0.25">
      <c r="A51" t="s">
        <v>20</v>
      </c>
    </row>
    <row r="52" spans="1:5" x14ac:dyDescent="0.25">
      <c r="A52" t="s">
        <v>7</v>
      </c>
      <c r="B52" t="s">
        <v>16</v>
      </c>
    </row>
    <row r="53" spans="1:5" x14ac:dyDescent="0.25">
      <c r="A53" t="s">
        <v>17</v>
      </c>
      <c r="B53">
        <v>1</v>
      </c>
    </row>
    <row r="54" spans="1:5" x14ac:dyDescent="0.25">
      <c r="A54" t="s">
        <v>9</v>
      </c>
      <c r="B54" t="s">
        <v>10</v>
      </c>
      <c r="C54" t="s">
        <v>18</v>
      </c>
      <c r="E54" t="s">
        <v>19</v>
      </c>
    </row>
    <row r="55" spans="1:5" x14ac:dyDescent="0.25">
      <c r="A55" t="s">
        <v>12</v>
      </c>
      <c r="B55">
        <v>80.387818869303374</v>
      </c>
      <c r="C55">
        <v>44.820270672323261</v>
      </c>
      <c r="D55">
        <v>115.95536706628349</v>
      </c>
      <c r="E55">
        <v>17.569477738588642</v>
      </c>
    </row>
    <row r="56" spans="1:5" x14ac:dyDescent="0.25">
      <c r="A56" t="s">
        <v>13</v>
      </c>
      <c r="B56">
        <v>0.9949122067759395</v>
      </c>
      <c r="C56">
        <v>0.97516228941616689</v>
      </c>
      <c r="D56">
        <v>1.0146621241357121</v>
      </c>
      <c r="E56">
        <v>9.7559643827502592E-3</v>
      </c>
    </row>
  </sheetData>
  <pageMargins left="0.7" right="0.7" top="0.75" bottom="0.75" header="0.3" footer="0.3"/>
  <pageSetup paperSize="9" orientation="portrait" verticalDpi="0" r:id="rId1"/>
  <customProperties>
    <customPr name="__ai3_dataset_2008140669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7C4C-4CAB-4C8B-BFA5-B5AC3750BFB1}">
  <dimension ref="A1:E79"/>
  <sheetViews>
    <sheetView workbookViewId="0">
      <selection activeCell="A78" sqref="A78"/>
    </sheetView>
  </sheetViews>
  <sheetFormatPr defaultRowHeight="15" x14ac:dyDescent="0.25"/>
  <sheetData>
    <row r="1" spans="1:3" x14ac:dyDescent="0.25">
      <c r="B1" t="s">
        <v>22</v>
      </c>
      <c r="C1" t="s">
        <v>21</v>
      </c>
    </row>
    <row r="2" spans="1:3" x14ac:dyDescent="0.25">
      <c r="A2">
        <v>1</v>
      </c>
      <c r="B2">
        <v>159.13210490169399</v>
      </c>
      <c r="C2">
        <v>155.98074231864101</v>
      </c>
    </row>
    <row r="3" spans="1:3" x14ac:dyDescent="0.25">
      <c r="A3">
        <v>2</v>
      </c>
      <c r="B3">
        <v>122.409823158536</v>
      </c>
      <c r="C3">
        <v>113.586242123666</v>
      </c>
    </row>
    <row r="4" spans="1:3" x14ac:dyDescent="0.25">
      <c r="A4">
        <v>3</v>
      </c>
      <c r="B4">
        <v>54.372011387251</v>
      </c>
      <c r="C4">
        <v>55.921679372055998</v>
      </c>
    </row>
    <row r="5" spans="1:3" x14ac:dyDescent="0.25">
      <c r="A5">
        <v>4</v>
      </c>
      <c r="B5">
        <v>77.609053318060006</v>
      </c>
      <c r="C5">
        <v>83.514517680632906</v>
      </c>
    </row>
    <row r="6" spans="1:3" x14ac:dyDescent="0.25">
      <c r="A6">
        <v>5</v>
      </c>
      <c r="B6">
        <v>117.910400514949</v>
      </c>
      <c r="C6">
        <v>126.40481970805</v>
      </c>
    </row>
    <row r="7" spans="1:3" x14ac:dyDescent="0.25">
      <c r="A7">
        <v>6</v>
      </c>
      <c r="B7">
        <v>34.344147338778498</v>
      </c>
      <c r="C7">
        <v>32.226275140333399</v>
      </c>
    </row>
    <row r="8" spans="1:3" x14ac:dyDescent="0.25">
      <c r="A8">
        <v>7</v>
      </c>
      <c r="B8">
        <v>133.330052612602</v>
      </c>
      <c r="C8">
        <v>147.86753657140099</v>
      </c>
    </row>
    <row r="9" spans="1:3" x14ac:dyDescent="0.25">
      <c r="A9">
        <v>8</v>
      </c>
      <c r="B9">
        <v>106.125436506021</v>
      </c>
      <c r="C9">
        <v>107.78364955393</v>
      </c>
    </row>
    <row r="10" spans="1:3" x14ac:dyDescent="0.25">
      <c r="A10">
        <v>9</v>
      </c>
      <c r="B10">
        <v>13.620680957941399</v>
      </c>
      <c r="C10">
        <v>15.35315550658</v>
      </c>
    </row>
    <row r="11" spans="1:3" x14ac:dyDescent="0.25">
      <c r="A11">
        <v>10</v>
      </c>
      <c r="B11">
        <v>107.589968083491</v>
      </c>
      <c r="C11">
        <v>96.604733783992003</v>
      </c>
    </row>
    <row r="12" spans="1:3" x14ac:dyDescent="0.25">
      <c r="A12">
        <v>11</v>
      </c>
      <c r="B12">
        <v>123.05589812134799</v>
      </c>
      <c r="C12">
        <v>133.747124593531</v>
      </c>
    </row>
    <row r="13" spans="1:3" x14ac:dyDescent="0.25">
      <c r="A13">
        <v>12</v>
      </c>
      <c r="B13">
        <v>135.936896080639</v>
      </c>
      <c r="C13">
        <v>153.08843004809401</v>
      </c>
    </row>
    <row r="14" spans="1:3" x14ac:dyDescent="0.25">
      <c r="A14">
        <v>13</v>
      </c>
      <c r="B14">
        <v>98.979600969977696</v>
      </c>
      <c r="C14">
        <v>102.206305712324</v>
      </c>
    </row>
    <row r="15" spans="1:3" x14ac:dyDescent="0.25">
      <c r="A15">
        <v>14</v>
      </c>
      <c r="B15">
        <v>144.10984548892301</v>
      </c>
      <c r="C15">
        <v>132.895425970432</v>
      </c>
    </row>
    <row r="16" spans="1:3" x14ac:dyDescent="0.25">
      <c r="A16">
        <v>15</v>
      </c>
      <c r="B16">
        <v>81.865365595201297</v>
      </c>
      <c r="C16">
        <v>73.166182714680204</v>
      </c>
    </row>
    <row r="17" spans="1:3" x14ac:dyDescent="0.25">
      <c r="A17">
        <v>16</v>
      </c>
      <c r="B17">
        <v>175.53695301438199</v>
      </c>
      <c r="C17">
        <v>166.08058206248899</v>
      </c>
    </row>
    <row r="18" spans="1:3" x14ac:dyDescent="0.25">
      <c r="A18">
        <v>17</v>
      </c>
      <c r="B18">
        <v>104.33528618404</v>
      </c>
      <c r="C18">
        <v>103.31463421866501</v>
      </c>
    </row>
    <row r="19" spans="1:3" x14ac:dyDescent="0.25">
      <c r="A19">
        <v>18</v>
      </c>
      <c r="B19">
        <v>141.31455209541099</v>
      </c>
      <c r="C19">
        <v>135.866732678566</v>
      </c>
    </row>
    <row r="20" spans="1:3" x14ac:dyDescent="0.25">
      <c r="A20">
        <v>19</v>
      </c>
      <c r="B20">
        <v>196.73585706288699</v>
      </c>
      <c r="C20">
        <v>201.30030248776501</v>
      </c>
    </row>
    <row r="21" spans="1:3" x14ac:dyDescent="0.25">
      <c r="A21">
        <v>20</v>
      </c>
      <c r="B21">
        <v>26.221329617640201</v>
      </c>
      <c r="C21">
        <v>26.194669590043301</v>
      </c>
    </row>
    <row r="22" spans="1:3" x14ac:dyDescent="0.25">
      <c r="A22">
        <v>21</v>
      </c>
      <c r="B22">
        <v>81.647916111775899</v>
      </c>
      <c r="C22">
        <v>74.944509796754105</v>
      </c>
    </row>
    <row r="23" spans="1:3" x14ac:dyDescent="0.25">
      <c r="A23">
        <v>22</v>
      </c>
      <c r="B23">
        <v>128.69195919741401</v>
      </c>
      <c r="C23">
        <v>118.420171497986</v>
      </c>
    </row>
    <row r="24" spans="1:3" x14ac:dyDescent="0.25">
      <c r="A24">
        <v>23</v>
      </c>
      <c r="B24">
        <v>78.085403907704105</v>
      </c>
      <c r="C24">
        <v>75.877900724083403</v>
      </c>
    </row>
    <row r="25" spans="1:3" x14ac:dyDescent="0.25">
      <c r="A25">
        <v>24</v>
      </c>
      <c r="B25">
        <v>99.852487983459099</v>
      </c>
      <c r="C25">
        <v>101.712295496333</v>
      </c>
    </row>
    <row r="26" spans="1:3" x14ac:dyDescent="0.25">
      <c r="A26">
        <v>25</v>
      </c>
      <c r="B26">
        <v>199.50892377408701</v>
      </c>
      <c r="C26">
        <v>197.745177611874</v>
      </c>
    </row>
    <row r="27" spans="1:3" x14ac:dyDescent="0.25">
      <c r="A27">
        <v>26</v>
      </c>
      <c r="B27">
        <v>36.448185399594699</v>
      </c>
      <c r="C27">
        <v>39.767065260969801</v>
      </c>
    </row>
    <row r="28" spans="1:3" x14ac:dyDescent="0.25">
      <c r="A28">
        <v>27</v>
      </c>
      <c r="B28">
        <v>52.108760557024503</v>
      </c>
      <c r="C28">
        <v>47.757676466800199</v>
      </c>
    </row>
    <row r="29" spans="1:3" x14ac:dyDescent="0.25">
      <c r="A29">
        <v>28</v>
      </c>
      <c r="B29">
        <v>149.927096024082</v>
      </c>
      <c r="C29">
        <v>169.10294466617901</v>
      </c>
    </row>
    <row r="30" spans="1:3" x14ac:dyDescent="0.25">
      <c r="A30">
        <v>29</v>
      </c>
      <c r="B30">
        <v>212.16567255753199</v>
      </c>
      <c r="C30">
        <v>195.61338574274899</v>
      </c>
    </row>
    <row r="31" spans="1:3" x14ac:dyDescent="0.25">
      <c r="A31">
        <v>30</v>
      </c>
      <c r="B31">
        <v>183.84757519680301</v>
      </c>
      <c r="C31">
        <v>195.814547048847</v>
      </c>
    </row>
    <row r="32" spans="1:3" x14ac:dyDescent="0.25">
      <c r="A32">
        <v>31</v>
      </c>
      <c r="B32">
        <v>105.45959993757501</v>
      </c>
      <c r="C32">
        <v>120.878762598496</v>
      </c>
    </row>
    <row r="33" spans="1:5" x14ac:dyDescent="0.25">
      <c r="A33">
        <v>32</v>
      </c>
      <c r="B33">
        <v>206.23643346151599</v>
      </c>
      <c r="C33">
        <v>176.13757382836701</v>
      </c>
    </row>
    <row r="34" spans="1:5" x14ac:dyDescent="0.25">
      <c r="A34">
        <v>33</v>
      </c>
      <c r="B34">
        <v>175.415108298636</v>
      </c>
      <c r="C34">
        <v>170.383238334743</v>
      </c>
    </row>
    <row r="35" spans="1:5" x14ac:dyDescent="0.25">
      <c r="A35">
        <v>34</v>
      </c>
      <c r="B35">
        <v>138.21550923581</v>
      </c>
      <c r="C35">
        <v>122.716860228998</v>
      </c>
    </row>
    <row r="36" spans="1:5" x14ac:dyDescent="0.25">
      <c r="A36">
        <v>35</v>
      </c>
      <c r="B36">
        <v>37.199607298721098</v>
      </c>
      <c r="C36">
        <v>40.416988126300303</v>
      </c>
    </row>
    <row r="37" spans="1:5" x14ac:dyDescent="0.25">
      <c r="A37">
        <v>36</v>
      </c>
      <c r="B37">
        <v>175.71775848977401</v>
      </c>
      <c r="C37">
        <v>191.77022770702601</v>
      </c>
    </row>
    <row r="38" spans="1:5" x14ac:dyDescent="0.25">
      <c r="A38">
        <v>37</v>
      </c>
      <c r="B38">
        <v>178.938863344091</v>
      </c>
      <c r="C38">
        <v>172.50619003727499</v>
      </c>
    </row>
    <row r="39" spans="1:5" x14ac:dyDescent="0.25">
      <c r="A39">
        <v>38</v>
      </c>
      <c r="B39">
        <v>37.835578936698298</v>
      </c>
      <c r="C39">
        <v>37.086141407558202</v>
      </c>
    </row>
    <row r="40" spans="1:5" x14ac:dyDescent="0.25">
      <c r="A40">
        <v>39</v>
      </c>
      <c r="B40">
        <v>59.520200898949902</v>
      </c>
      <c r="C40">
        <v>58.485494797572599</v>
      </c>
    </row>
    <row r="41" spans="1:5" x14ac:dyDescent="0.25">
      <c r="A41">
        <v>40</v>
      </c>
      <c r="B41">
        <v>149.862143480833</v>
      </c>
      <c r="C41">
        <v>169.52761339400701</v>
      </c>
    </row>
    <row r="44" spans="1:5" x14ac:dyDescent="0.25">
      <c r="A44" t="s">
        <v>23</v>
      </c>
    </row>
    <row r="45" spans="1:5" x14ac:dyDescent="0.25">
      <c r="B45" t="s">
        <v>10</v>
      </c>
      <c r="C45" t="s">
        <v>24</v>
      </c>
      <c r="D45" t="s">
        <v>25</v>
      </c>
      <c r="E45" t="s">
        <v>26</v>
      </c>
    </row>
    <row r="46" spans="1:5" x14ac:dyDescent="0.25">
      <c r="A46" t="s">
        <v>12</v>
      </c>
      <c r="B46">
        <v>-0.46581660000000003</v>
      </c>
      <c r="C46" t="s">
        <v>28</v>
      </c>
      <c r="D46">
        <v>-5.8836820000000003</v>
      </c>
      <c r="E46">
        <v>4.9161149999999996</v>
      </c>
    </row>
    <row r="47" spans="1:5" x14ac:dyDescent="0.25">
      <c r="A47" t="s">
        <v>13</v>
      </c>
      <c r="B47">
        <v>0.9941025</v>
      </c>
      <c r="C47" t="s">
        <v>28</v>
      </c>
      <c r="D47">
        <v>0.93364789999999998</v>
      </c>
      <c r="E47">
        <v>1.084514</v>
      </c>
    </row>
    <row r="49" spans="1:5" x14ac:dyDescent="0.25">
      <c r="A49" t="s">
        <v>27</v>
      </c>
    </row>
    <row r="50" spans="1:5" x14ac:dyDescent="0.25">
      <c r="B50" t="s">
        <v>10</v>
      </c>
      <c r="C50" t="s">
        <v>24</v>
      </c>
      <c r="D50" t="s">
        <v>25</v>
      </c>
      <c r="E50" t="s">
        <v>26</v>
      </c>
    </row>
    <row r="51" spans="1:5" x14ac:dyDescent="0.25">
      <c r="A51" t="s">
        <v>12</v>
      </c>
      <c r="B51">
        <v>1.1479469</v>
      </c>
      <c r="C51">
        <v>1.3740541799999999</v>
      </c>
      <c r="D51">
        <v>-1.63368</v>
      </c>
      <c r="E51">
        <v>3.9295740000000001</v>
      </c>
    </row>
    <row r="52" spans="1:5" x14ac:dyDescent="0.25">
      <c r="A52" t="s">
        <v>13</v>
      </c>
      <c r="B52">
        <v>0.9868692</v>
      </c>
      <c r="C52">
        <v>2.135165E-2</v>
      </c>
      <c r="D52">
        <v>0.94364499999999996</v>
      </c>
      <c r="E52">
        <v>1.0300929999999999</v>
      </c>
    </row>
    <row r="54" spans="1:5" x14ac:dyDescent="0.25">
      <c r="A54" t="s">
        <v>32</v>
      </c>
    </row>
    <row r="55" spans="1:5" x14ac:dyDescent="0.25">
      <c r="A55" t="s">
        <v>35</v>
      </c>
      <c r="B55">
        <v>0.8</v>
      </c>
    </row>
    <row r="56" spans="1:5" x14ac:dyDescent="0.25">
      <c r="B56" t="s">
        <v>10</v>
      </c>
      <c r="C56" t="s">
        <v>24</v>
      </c>
      <c r="D56" t="s">
        <v>25</v>
      </c>
      <c r="E56" t="s">
        <v>26</v>
      </c>
    </row>
    <row r="57" spans="1:5" x14ac:dyDescent="0.25">
      <c r="A57" t="s">
        <v>33</v>
      </c>
      <c r="B57">
        <v>1.1705037</v>
      </c>
      <c r="C57">
        <v>1.3544179300000001</v>
      </c>
      <c r="D57">
        <v>1.571372</v>
      </c>
      <c r="E57">
        <v>-3.9123790000000001</v>
      </c>
    </row>
    <row r="58" spans="1:5" x14ac:dyDescent="0.25">
      <c r="A58" t="s">
        <v>34</v>
      </c>
      <c r="B58">
        <v>0.98691249999999997</v>
      </c>
      <c r="C58">
        <v>2.1221219999999999E-2</v>
      </c>
      <c r="D58">
        <v>0.94395240000000002</v>
      </c>
      <c r="E58">
        <v>1.029873</v>
      </c>
    </row>
    <row r="61" spans="1:5" x14ac:dyDescent="0.25">
      <c r="A61" t="s">
        <v>30</v>
      </c>
    </row>
    <row r="62" spans="1:5" x14ac:dyDescent="0.25">
      <c r="A62" t="s">
        <v>7</v>
      </c>
      <c r="B62" t="s">
        <v>29</v>
      </c>
    </row>
    <row r="63" spans="1:5" x14ac:dyDescent="0.25">
      <c r="A63" t="s">
        <v>9</v>
      </c>
      <c r="B63" t="s">
        <v>10</v>
      </c>
      <c r="C63" t="s">
        <v>11</v>
      </c>
    </row>
    <row r="64" spans="1:5" x14ac:dyDescent="0.25">
      <c r="A64" t="s">
        <v>12</v>
      </c>
      <c r="B64">
        <v>-0.46582166630962618</v>
      </c>
      <c r="C64">
        <v>-5.5134661894185477</v>
      </c>
      <c r="D64">
        <v>4.3472526162157976</v>
      </c>
    </row>
    <row r="65" spans="1:5" x14ac:dyDescent="0.25">
      <c r="A65" t="s">
        <v>13</v>
      </c>
      <c r="B65">
        <v>0.99410254582622259</v>
      </c>
      <c r="C65">
        <v>0.93607722562009321</v>
      </c>
      <c r="D65">
        <v>1.0818635184884531</v>
      </c>
    </row>
    <row r="67" spans="1:5" x14ac:dyDescent="0.25">
      <c r="A67" t="s">
        <v>15</v>
      </c>
    </row>
    <row r="68" spans="1:5" x14ac:dyDescent="0.25">
      <c r="A68" t="s">
        <v>7</v>
      </c>
      <c r="B68" t="s">
        <v>31</v>
      </c>
    </row>
    <row r="69" spans="1:5" x14ac:dyDescent="0.25">
      <c r="A69" t="s">
        <v>17</v>
      </c>
      <c r="B69">
        <v>1</v>
      </c>
    </row>
    <row r="70" spans="1:5" x14ac:dyDescent="0.25">
      <c r="A70" t="s">
        <v>9</v>
      </c>
      <c r="B70" t="s">
        <v>10</v>
      </c>
      <c r="C70" t="s">
        <v>18</v>
      </c>
      <c r="E70" t="s">
        <v>19</v>
      </c>
    </row>
    <row r="71" spans="1:5" x14ac:dyDescent="0.25">
      <c r="A71" t="s">
        <v>12</v>
      </c>
      <c r="B71">
        <v>1.1479469369526285</v>
      </c>
      <c r="C71">
        <v>-1.6336803325194329</v>
      </c>
      <c r="D71">
        <v>3.9295742064246899</v>
      </c>
      <c r="E71">
        <v>1.3740541832509552</v>
      </c>
    </row>
    <row r="72" spans="1:5" x14ac:dyDescent="0.25">
      <c r="A72" t="s">
        <v>13</v>
      </c>
      <c r="B72">
        <v>0.98686919436362275</v>
      </c>
      <c r="C72">
        <v>0.94364503109715692</v>
      </c>
      <c r="D72">
        <v>1.0300933576300886</v>
      </c>
      <c r="E72">
        <v>2.135165376239714E-2</v>
      </c>
    </row>
    <row r="74" spans="1:5" x14ac:dyDescent="0.25">
      <c r="A74" t="s">
        <v>15</v>
      </c>
    </row>
    <row r="75" spans="1:5" x14ac:dyDescent="0.25">
      <c r="A75" t="s">
        <v>7</v>
      </c>
      <c r="B75" t="s">
        <v>36</v>
      </c>
    </row>
    <row r="76" spans="1:5" x14ac:dyDescent="0.25">
      <c r="A76" t="s">
        <v>17</v>
      </c>
      <c r="B76">
        <v>0.8</v>
      </c>
    </row>
    <row r="77" spans="1:5" x14ac:dyDescent="0.25">
      <c r="A77" t="s">
        <v>9</v>
      </c>
      <c r="B77" t="s">
        <v>10</v>
      </c>
      <c r="C77" t="s">
        <v>18</v>
      </c>
      <c r="E77" t="s">
        <v>19</v>
      </c>
    </row>
    <row r="78" spans="1:5" x14ac:dyDescent="0.25">
      <c r="A78" t="s">
        <v>12</v>
      </c>
      <c r="B78">
        <v>1.1705037201685684</v>
      </c>
      <c r="C78">
        <v>-1.5713720538957849</v>
      </c>
      <c r="D78">
        <v>3.9123794942329218</v>
      </c>
      <c r="E78">
        <v>1.3544179404103358</v>
      </c>
    </row>
    <row r="79" spans="1:5" x14ac:dyDescent="0.25">
      <c r="A79" t="s">
        <v>13</v>
      </c>
      <c r="B79">
        <v>0.98691248962236722</v>
      </c>
      <c r="C79">
        <v>0.94395238359943179</v>
      </c>
      <c r="D79">
        <v>1.0298725956453028</v>
      </c>
      <c r="E79">
        <v>2.1221216099496499E-2</v>
      </c>
    </row>
  </sheetData>
  <pageMargins left="0.7" right="0.7" top="0.75" bottom="0.75" header="0.3" footer="0.3"/>
  <customProperties>
    <customPr name="__ai3_dataset_221696496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BAC70-CA4B-4CA5-A2B3-727ECE35C6EE}">
  <dimension ref="A1:F33"/>
  <sheetViews>
    <sheetView workbookViewId="0">
      <selection activeCell="E11" sqref="E11"/>
    </sheetView>
  </sheetViews>
  <sheetFormatPr defaultRowHeight="15" x14ac:dyDescent="0.25"/>
  <sheetData>
    <row r="1" spans="1:6" ht="15.75" x14ac:dyDescent="0.25">
      <c r="A1" s="3"/>
      <c r="B1" s="4"/>
      <c r="C1" s="4" t="s">
        <v>90</v>
      </c>
      <c r="D1" s="3"/>
      <c r="E1" s="3"/>
      <c r="F1" s="3"/>
    </row>
    <row r="2" spans="1:6" ht="15.75" x14ac:dyDescent="0.25">
      <c r="A2" s="3"/>
      <c r="B2" s="3"/>
      <c r="C2" s="5" t="s">
        <v>91</v>
      </c>
      <c r="D2" s="6" t="s">
        <v>92</v>
      </c>
      <c r="E2" s="6" t="s">
        <v>93</v>
      </c>
      <c r="F2" s="7" t="s">
        <v>94</v>
      </c>
    </row>
    <row r="3" spans="1:6" ht="15.75" x14ac:dyDescent="0.25">
      <c r="A3" s="3"/>
      <c r="B3" s="8" t="s">
        <v>95</v>
      </c>
      <c r="C3" s="9">
        <v>106</v>
      </c>
      <c r="D3" s="9">
        <v>463</v>
      </c>
      <c r="E3" s="9">
        <v>106</v>
      </c>
      <c r="F3" s="9">
        <v>463</v>
      </c>
    </row>
    <row r="4" spans="1:6" ht="15.75" x14ac:dyDescent="0.25">
      <c r="A4" s="3"/>
      <c r="B4" s="10" t="s">
        <v>96</v>
      </c>
      <c r="C4" s="11">
        <v>0.01</v>
      </c>
      <c r="D4" s="11">
        <v>0.01</v>
      </c>
      <c r="E4" s="11">
        <v>0.01</v>
      </c>
      <c r="F4" s="11">
        <v>0.01</v>
      </c>
    </row>
    <row r="5" spans="1:6" ht="15.75" x14ac:dyDescent="0.25">
      <c r="A5" s="3"/>
      <c r="B5" s="10" t="s">
        <v>97</v>
      </c>
      <c r="C5" s="11">
        <v>2.5999999999999999E-2</v>
      </c>
      <c r="D5" s="11">
        <v>2.5999999999999999E-2</v>
      </c>
      <c r="E5" s="11">
        <v>2.5999999999999999E-2</v>
      </c>
      <c r="F5" s="11">
        <v>2.5999999999999999E-2</v>
      </c>
    </row>
    <row r="6" spans="1:6" ht="15.75" x14ac:dyDescent="0.25">
      <c r="A6" s="3"/>
      <c r="B6" s="3"/>
      <c r="C6" s="3"/>
      <c r="D6" s="3"/>
      <c r="E6" s="3"/>
      <c r="F6" s="3"/>
    </row>
    <row r="7" spans="1:6" ht="15.75" x14ac:dyDescent="0.25">
      <c r="A7" s="3"/>
      <c r="B7" s="12"/>
      <c r="C7" s="12"/>
      <c r="D7" s="12"/>
      <c r="E7" s="12"/>
      <c r="F7" s="12"/>
    </row>
    <row r="8" spans="1:6" ht="15.75" x14ac:dyDescent="0.25">
      <c r="A8" s="13" t="s">
        <v>98</v>
      </c>
      <c r="B8" s="13" t="s">
        <v>99</v>
      </c>
      <c r="C8" s="5" t="s">
        <v>91</v>
      </c>
      <c r="D8" s="6" t="s">
        <v>92</v>
      </c>
      <c r="E8" s="6" t="s">
        <v>93</v>
      </c>
      <c r="F8" s="7" t="s">
        <v>94</v>
      </c>
    </row>
    <row r="9" spans="1:6" ht="15.75" x14ac:dyDescent="0.25">
      <c r="A9" s="14" t="s">
        <v>100</v>
      </c>
      <c r="B9" s="15" t="s">
        <v>101</v>
      </c>
      <c r="C9" s="9">
        <v>95.1</v>
      </c>
      <c r="D9" s="9">
        <v>418.2</v>
      </c>
      <c r="E9" s="9">
        <v>95.1</v>
      </c>
      <c r="F9" s="9">
        <v>418.2</v>
      </c>
    </row>
    <row r="10" spans="1:6" ht="15.75" x14ac:dyDescent="0.25">
      <c r="A10" s="14" t="s">
        <v>100</v>
      </c>
      <c r="B10" s="15" t="s">
        <v>101</v>
      </c>
      <c r="C10" s="9">
        <v>95.2</v>
      </c>
      <c r="D10" s="9">
        <v>415.2</v>
      </c>
      <c r="E10" s="9">
        <v>95.2</v>
      </c>
      <c r="F10" s="9">
        <v>415.2</v>
      </c>
    </row>
    <row r="11" spans="1:6" ht="15.75" x14ac:dyDescent="0.25">
      <c r="A11" s="14" t="s">
        <v>100</v>
      </c>
      <c r="B11" s="15" t="s">
        <v>101</v>
      </c>
      <c r="C11" s="9">
        <v>95.8</v>
      </c>
      <c r="D11" s="9">
        <v>416.9</v>
      </c>
      <c r="E11" s="9">
        <v>95.8</v>
      </c>
      <c r="F11" s="9">
        <v>416.9</v>
      </c>
    </row>
    <row r="12" spans="1:6" ht="15.75" x14ac:dyDescent="0.25">
      <c r="A12" s="14" t="s">
        <v>100</v>
      </c>
      <c r="B12" s="15" t="s">
        <v>101</v>
      </c>
      <c r="C12" s="9">
        <v>95.4</v>
      </c>
      <c r="D12" s="9">
        <v>416.3</v>
      </c>
      <c r="E12" s="9">
        <v>95.4</v>
      </c>
      <c r="F12" s="9">
        <v>416.3</v>
      </c>
    </row>
    <row r="13" spans="1:6" ht="15.75" x14ac:dyDescent="0.25">
      <c r="A13" s="14" t="s">
        <v>100</v>
      </c>
      <c r="B13" s="15" t="s">
        <v>101</v>
      </c>
      <c r="C13" s="9">
        <v>95.9</v>
      </c>
      <c r="D13" s="9">
        <v>416.8</v>
      </c>
      <c r="E13" s="9">
        <v>95.9</v>
      </c>
      <c r="F13" s="9">
        <v>416.8</v>
      </c>
    </row>
    <row r="14" spans="1:6" ht="15.75" x14ac:dyDescent="0.25">
      <c r="A14" s="14" t="s">
        <v>102</v>
      </c>
      <c r="B14" s="15" t="s">
        <v>101</v>
      </c>
      <c r="C14" s="9">
        <v>98.2</v>
      </c>
      <c r="D14" s="9">
        <v>421.3</v>
      </c>
      <c r="E14" s="9">
        <v>98.2</v>
      </c>
      <c r="F14" s="9">
        <v>421.3</v>
      </c>
    </row>
    <row r="15" spans="1:6" ht="15.75" x14ac:dyDescent="0.25">
      <c r="A15" s="14" t="s">
        <v>102</v>
      </c>
      <c r="B15" s="15" t="s">
        <v>101</v>
      </c>
      <c r="C15" s="9">
        <v>96.6</v>
      </c>
      <c r="D15" s="9">
        <v>416.7</v>
      </c>
      <c r="E15" s="9">
        <v>96.6</v>
      </c>
      <c r="F15" s="9">
        <v>416.7</v>
      </c>
    </row>
    <row r="16" spans="1:6" ht="15.75" x14ac:dyDescent="0.25">
      <c r="A16" s="14" t="s">
        <v>102</v>
      </c>
      <c r="B16" s="15" t="s">
        <v>101</v>
      </c>
      <c r="C16" s="9">
        <v>96.9</v>
      </c>
      <c r="D16" s="9">
        <v>422.5</v>
      </c>
      <c r="E16" s="9">
        <v>96.9</v>
      </c>
      <c r="F16" s="9">
        <v>422.5</v>
      </c>
    </row>
    <row r="17" spans="1:6" ht="15.75" x14ac:dyDescent="0.25">
      <c r="A17" s="14" t="s">
        <v>102</v>
      </c>
      <c r="B17" s="15" t="s">
        <v>101</v>
      </c>
      <c r="C17" s="9">
        <v>96.2</v>
      </c>
      <c r="D17" s="9">
        <v>419.9</v>
      </c>
      <c r="E17" s="9">
        <v>96.2</v>
      </c>
      <c r="F17" s="9">
        <v>419.9</v>
      </c>
    </row>
    <row r="18" spans="1:6" ht="15.75" x14ac:dyDescent="0.25">
      <c r="A18" s="14" t="s">
        <v>102</v>
      </c>
      <c r="B18" s="15" t="s">
        <v>101</v>
      </c>
      <c r="C18" s="9">
        <v>91.6</v>
      </c>
      <c r="D18" s="9">
        <v>405.7</v>
      </c>
      <c r="E18" s="9">
        <v>91.6</v>
      </c>
      <c r="F18" s="9">
        <v>405.7</v>
      </c>
    </row>
    <row r="19" spans="1:6" ht="15.75" x14ac:dyDescent="0.25">
      <c r="A19" s="14" t="s">
        <v>103</v>
      </c>
      <c r="B19" s="15" t="s">
        <v>101</v>
      </c>
      <c r="C19" s="9">
        <v>94</v>
      </c>
      <c r="D19" s="9">
        <v>413.3</v>
      </c>
      <c r="E19" s="9">
        <v>94</v>
      </c>
      <c r="F19" s="9">
        <v>413.3</v>
      </c>
    </row>
    <row r="20" spans="1:6" ht="15.75" x14ac:dyDescent="0.25">
      <c r="A20" s="14" t="s">
        <v>103</v>
      </c>
      <c r="B20" s="15" t="s">
        <v>101</v>
      </c>
      <c r="C20" s="9">
        <v>92</v>
      </c>
      <c r="D20" s="9">
        <v>411.7</v>
      </c>
      <c r="E20" s="9">
        <v>92</v>
      </c>
      <c r="F20" s="9">
        <v>411.7</v>
      </c>
    </row>
    <row r="21" spans="1:6" ht="15.75" x14ac:dyDescent="0.25">
      <c r="A21" s="14" t="s">
        <v>103</v>
      </c>
      <c r="B21" s="15" t="s">
        <v>101</v>
      </c>
      <c r="C21" s="9">
        <v>93.1</v>
      </c>
      <c r="D21" s="9">
        <v>413.8</v>
      </c>
      <c r="E21" s="9">
        <v>93.1</v>
      </c>
      <c r="F21" s="9">
        <v>413.8</v>
      </c>
    </row>
    <row r="22" spans="1:6" ht="15.75" x14ac:dyDescent="0.25">
      <c r="A22" s="14" t="s">
        <v>103</v>
      </c>
      <c r="B22" s="15" t="s">
        <v>101</v>
      </c>
      <c r="C22" s="9">
        <v>92.7</v>
      </c>
      <c r="D22" s="9">
        <v>412.3</v>
      </c>
      <c r="E22" s="9">
        <v>92.7</v>
      </c>
      <c r="F22" s="9">
        <v>412.3</v>
      </c>
    </row>
    <row r="23" spans="1:6" ht="15.75" x14ac:dyDescent="0.25">
      <c r="A23" s="14" t="s">
        <v>103</v>
      </c>
      <c r="B23" s="15" t="s">
        <v>101</v>
      </c>
      <c r="C23" s="9">
        <v>93.7</v>
      </c>
      <c r="D23" s="9">
        <v>414.6</v>
      </c>
      <c r="E23" s="9">
        <v>93.7</v>
      </c>
      <c r="F23" s="9">
        <v>414.6</v>
      </c>
    </row>
    <row r="24" spans="1:6" ht="15.75" x14ac:dyDescent="0.25">
      <c r="A24" s="14" t="s">
        <v>104</v>
      </c>
      <c r="B24" s="15" t="s">
        <v>101</v>
      </c>
      <c r="C24" s="9">
        <v>91.4</v>
      </c>
      <c r="D24" s="9">
        <v>401.3</v>
      </c>
      <c r="E24" s="9">
        <v>91.4</v>
      </c>
      <c r="F24" s="9">
        <v>401.3</v>
      </c>
    </row>
    <row r="25" spans="1:6" ht="15.75" x14ac:dyDescent="0.25">
      <c r="A25" s="14" t="s">
        <v>104</v>
      </c>
      <c r="B25" s="15" t="s">
        <v>101</v>
      </c>
      <c r="C25" s="9">
        <v>91.6</v>
      </c>
      <c r="D25" s="9">
        <v>398.7</v>
      </c>
      <c r="E25" s="9">
        <v>91.6</v>
      </c>
      <c r="F25" s="9">
        <v>398.7</v>
      </c>
    </row>
    <row r="26" spans="1:6" ht="15.75" x14ac:dyDescent="0.25">
      <c r="A26" s="14" t="s">
        <v>104</v>
      </c>
      <c r="B26" s="15" t="s">
        <v>101</v>
      </c>
      <c r="C26" s="9">
        <v>92.5</v>
      </c>
      <c r="D26" s="9">
        <v>399</v>
      </c>
      <c r="E26" s="9">
        <v>92.5</v>
      </c>
      <c r="F26" s="9">
        <v>399</v>
      </c>
    </row>
    <row r="27" spans="1:6" ht="15.75" x14ac:dyDescent="0.25">
      <c r="A27" s="14" t="s">
        <v>104</v>
      </c>
      <c r="B27" s="15" t="s">
        <v>101</v>
      </c>
      <c r="C27" s="9">
        <v>91.2</v>
      </c>
      <c r="D27" s="9">
        <v>398.2</v>
      </c>
      <c r="E27" s="9">
        <v>91.2</v>
      </c>
      <c r="F27" s="9">
        <v>398.2</v>
      </c>
    </row>
    <row r="28" spans="1:6" ht="15.75" x14ac:dyDescent="0.25">
      <c r="A28" s="14" t="s">
        <v>104</v>
      </c>
      <c r="B28" s="15" t="s">
        <v>101</v>
      </c>
      <c r="C28" s="9">
        <v>93</v>
      </c>
      <c r="D28" s="9">
        <v>402.4</v>
      </c>
      <c r="E28" s="9">
        <v>93</v>
      </c>
      <c r="F28" s="9">
        <v>402.4</v>
      </c>
    </row>
    <row r="29" spans="1:6" ht="15.75" x14ac:dyDescent="0.25">
      <c r="A29" s="14" t="s">
        <v>105</v>
      </c>
      <c r="B29" s="15" t="s">
        <v>101</v>
      </c>
      <c r="C29" s="9">
        <v>92.9</v>
      </c>
      <c r="D29" s="9">
        <v>401.4</v>
      </c>
      <c r="E29" s="9">
        <v>92.9</v>
      </c>
      <c r="F29" s="9">
        <v>401.4</v>
      </c>
    </row>
    <row r="30" spans="1:6" ht="15.75" x14ac:dyDescent="0.25">
      <c r="A30" s="14" t="s">
        <v>105</v>
      </c>
      <c r="B30" s="15" t="s">
        <v>101</v>
      </c>
      <c r="C30" s="9">
        <v>92.1</v>
      </c>
      <c r="D30" s="9">
        <v>402</v>
      </c>
      <c r="E30" s="9">
        <v>92.1</v>
      </c>
      <c r="F30" s="9">
        <v>402</v>
      </c>
    </row>
    <row r="31" spans="1:6" ht="15.75" x14ac:dyDescent="0.25">
      <c r="A31" s="14" t="s">
        <v>105</v>
      </c>
      <c r="B31" s="15" t="s">
        <v>101</v>
      </c>
      <c r="C31" s="9">
        <v>94.7</v>
      </c>
      <c r="D31" s="9">
        <v>404.2</v>
      </c>
      <c r="E31" s="9">
        <v>94.7</v>
      </c>
      <c r="F31" s="9">
        <v>404.2</v>
      </c>
    </row>
    <row r="32" spans="1:6" ht="15.75" x14ac:dyDescent="0.25">
      <c r="A32" s="14" t="s">
        <v>105</v>
      </c>
      <c r="B32" s="15" t="s">
        <v>101</v>
      </c>
      <c r="C32" s="9">
        <v>89.2</v>
      </c>
      <c r="D32" s="9">
        <v>399.7</v>
      </c>
      <c r="E32" s="9">
        <v>89.2</v>
      </c>
      <c r="F32" s="9">
        <v>399.7</v>
      </c>
    </row>
    <row r="33" spans="1:6" ht="15.75" x14ac:dyDescent="0.25">
      <c r="A33" s="14" t="s">
        <v>105</v>
      </c>
      <c r="B33" s="15" t="s">
        <v>101</v>
      </c>
      <c r="C33" s="9">
        <v>88</v>
      </c>
      <c r="D33" s="9">
        <v>398.6</v>
      </c>
      <c r="E33" s="9">
        <v>88</v>
      </c>
      <c r="F33" s="9">
        <v>398.6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526C3-9975-4AA6-8422-8E0469BF948A}">
  <dimension ref="A1:P81"/>
  <sheetViews>
    <sheetView workbookViewId="0">
      <selection activeCell="D1" sqref="D1:D81"/>
    </sheetView>
  </sheetViews>
  <sheetFormatPr defaultRowHeight="15" x14ac:dyDescent="0.25"/>
  <cols>
    <col min="11" max="11" width="13.5703125" bestFit="1" customWidth="1"/>
    <col min="13" max="13" width="11.42578125" bestFit="1" customWidth="1"/>
    <col min="15" max="15" width="10.42578125" bestFit="1" customWidth="1"/>
  </cols>
  <sheetData>
    <row r="1" spans="1:16" x14ac:dyDescent="0.25">
      <c r="A1" t="s">
        <v>98</v>
      </c>
      <c r="B1" t="s">
        <v>99</v>
      </c>
      <c r="C1" t="s">
        <v>192</v>
      </c>
      <c r="D1" t="s">
        <v>233</v>
      </c>
      <c r="F1" t="s">
        <v>95</v>
      </c>
      <c r="G1">
        <v>100.38988950839853</v>
      </c>
      <c r="J1" t="s">
        <v>163</v>
      </c>
    </row>
    <row r="2" spans="1:16" x14ac:dyDescent="0.25">
      <c r="A2" t="s">
        <v>100</v>
      </c>
      <c r="B2" t="s">
        <v>101</v>
      </c>
      <c r="C2">
        <v>105.91254948744201</v>
      </c>
      <c r="D2">
        <v>242</v>
      </c>
      <c r="F2" t="s">
        <v>122</v>
      </c>
      <c r="G2">
        <v>1019.59383803088</v>
      </c>
      <c r="J2" t="s">
        <v>164</v>
      </c>
      <c r="K2" s="16">
        <v>0.03</v>
      </c>
    </row>
    <row r="3" spans="1:16" x14ac:dyDescent="0.25">
      <c r="A3" t="s">
        <v>100</v>
      </c>
      <c r="B3" t="s">
        <v>101</v>
      </c>
      <c r="C3">
        <v>103.459443897618</v>
      </c>
      <c r="D3">
        <v>246</v>
      </c>
      <c r="F3" t="s">
        <v>123</v>
      </c>
      <c r="G3">
        <v>248.53879533730424</v>
      </c>
      <c r="J3" t="s">
        <v>165</v>
      </c>
      <c r="K3" s="16">
        <v>0.01</v>
      </c>
    </row>
    <row r="4" spans="1:16" x14ac:dyDescent="0.25">
      <c r="A4" t="s">
        <v>100</v>
      </c>
      <c r="B4" t="s">
        <v>106</v>
      </c>
      <c r="C4">
        <v>100.374620448402</v>
      </c>
      <c r="D4">
        <v>245</v>
      </c>
      <c r="F4" t="s">
        <v>124</v>
      </c>
      <c r="G4">
        <v>68.157867478650402</v>
      </c>
      <c r="J4" t="s">
        <v>166</v>
      </c>
      <c r="K4" s="16">
        <v>0.02</v>
      </c>
    </row>
    <row r="5" spans="1:16" x14ac:dyDescent="0.25">
      <c r="A5" t="s">
        <v>100</v>
      </c>
      <c r="B5" t="s">
        <v>106</v>
      </c>
      <c r="C5">
        <v>103.765913942498</v>
      </c>
      <c r="D5">
        <v>246</v>
      </c>
      <c r="F5" t="s">
        <v>125</v>
      </c>
      <c r="G5">
        <v>400.59850549364029</v>
      </c>
      <c r="J5" t="s">
        <v>167</v>
      </c>
      <c r="K5" s="17">
        <f>SQRT(POWER(K2,2)+POWER(K3,2)+POWER(K4,2))</f>
        <v>3.7416573867739417E-2</v>
      </c>
    </row>
    <row r="6" spans="1:16" x14ac:dyDescent="0.25">
      <c r="A6" t="s">
        <v>102</v>
      </c>
      <c r="B6" t="s">
        <v>101</v>
      </c>
      <c r="C6">
        <v>101.52339031338801</v>
      </c>
      <c r="D6">
        <v>243</v>
      </c>
      <c r="F6" t="s">
        <v>126</v>
      </c>
      <c r="G6">
        <v>302.29866972128497</v>
      </c>
    </row>
    <row r="7" spans="1:16" x14ac:dyDescent="0.25">
      <c r="A7" t="s">
        <v>102</v>
      </c>
      <c r="B7" t="s">
        <v>101</v>
      </c>
      <c r="C7">
        <v>101.334799870363</v>
      </c>
      <c r="D7">
        <v>242</v>
      </c>
      <c r="F7" t="s">
        <v>127</v>
      </c>
      <c r="G7">
        <v>79</v>
      </c>
    </row>
    <row r="8" spans="1:16" x14ac:dyDescent="0.25">
      <c r="A8" t="s">
        <v>102</v>
      </c>
      <c r="B8" t="s">
        <v>106</v>
      </c>
      <c r="C8">
        <v>102.72422719070801</v>
      </c>
      <c r="D8">
        <v>238</v>
      </c>
      <c r="F8" t="s">
        <v>128</v>
      </c>
      <c r="G8">
        <v>19</v>
      </c>
    </row>
    <row r="9" spans="1:16" x14ac:dyDescent="0.25">
      <c r="A9" t="s">
        <v>102</v>
      </c>
      <c r="B9" t="s">
        <v>106</v>
      </c>
      <c r="C9">
        <v>99.324477084567704</v>
      </c>
      <c r="D9">
        <v>238</v>
      </c>
      <c r="F9" t="s">
        <v>129</v>
      </c>
      <c r="G9">
        <v>1</v>
      </c>
      <c r="J9" s="27" t="s">
        <v>172</v>
      </c>
      <c r="K9" s="63" t="s">
        <v>95</v>
      </c>
      <c r="L9" s="64" t="s">
        <v>173</v>
      </c>
      <c r="M9" s="64" t="s">
        <v>174</v>
      </c>
      <c r="N9" s="65" t="s">
        <v>175</v>
      </c>
      <c r="O9" s="66" t="s">
        <v>176</v>
      </c>
      <c r="P9" s="18"/>
    </row>
    <row r="10" spans="1:16" x14ac:dyDescent="0.25">
      <c r="A10" t="s">
        <v>103</v>
      </c>
      <c r="B10" t="s">
        <v>101</v>
      </c>
      <c r="C10">
        <v>104.639388464438</v>
      </c>
      <c r="D10">
        <v>247</v>
      </c>
      <c r="F10" t="s">
        <v>130</v>
      </c>
      <c r="G10">
        <v>19</v>
      </c>
      <c r="J10" s="33"/>
      <c r="K10" s="51">
        <v>100.38988950839854</v>
      </c>
      <c r="L10" s="34">
        <v>3.1523518872781216E-2</v>
      </c>
      <c r="M10" s="67">
        <v>3.1646425765544222</v>
      </c>
      <c r="N10" s="36">
        <v>3.7627484975622447E-2</v>
      </c>
      <c r="O10" s="68">
        <v>3.7774190591816637</v>
      </c>
      <c r="P10" s="18"/>
    </row>
    <row r="11" spans="1:16" x14ac:dyDescent="0.25">
      <c r="A11" t="s">
        <v>103</v>
      </c>
      <c r="B11" t="s">
        <v>101</v>
      </c>
      <c r="C11">
        <v>94.140946998019203</v>
      </c>
      <c r="D11">
        <v>239</v>
      </c>
      <c r="F11" t="s">
        <v>131</v>
      </c>
      <c r="G11">
        <v>40</v>
      </c>
      <c r="J11" s="18"/>
      <c r="K11" s="18"/>
      <c r="L11" s="18"/>
      <c r="M11" s="18"/>
      <c r="N11" s="18"/>
      <c r="O11" s="18"/>
      <c r="P11" s="18"/>
    </row>
    <row r="12" spans="1:16" x14ac:dyDescent="0.25">
      <c r="A12" t="s">
        <v>103</v>
      </c>
      <c r="B12" t="s">
        <v>106</v>
      </c>
      <c r="C12">
        <v>95.331980483197896</v>
      </c>
      <c r="D12">
        <v>241</v>
      </c>
      <c r="F12" t="s">
        <v>132</v>
      </c>
      <c r="G12">
        <v>13.08098922827917</v>
      </c>
      <c r="J12" s="39" t="s">
        <v>177</v>
      </c>
      <c r="K12" s="38"/>
      <c r="L12" s="38"/>
      <c r="M12" s="38"/>
      <c r="N12" s="38"/>
      <c r="O12" s="38"/>
      <c r="P12" s="38"/>
    </row>
    <row r="13" spans="1:16" x14ac:dyDescent="0.25">
      <c r="A13" t="s">
        <v>103</v>
      </c>
      <c r="B13" t="s">
        <v>106</v>
      </c>
      <c r="C13">
        <v>98.001881267459893</v>
      </c>
      <c r="D13">
        <v>240</v>
      </c>
      <c r="F13" t="s">
        <v>133</v>
      </c>
      <c r="G13">
        <v>68.157867478650402</v>
      </c>
      <c r="J13" s="57"/>
      <c r="K13" s="58"/>
      <c r="L13" s="59"/>
      <c r="M13" s="59"/>
      <c r="N13" s="60"/>
      <c r="O13" s="61"/>
      <c r="P13" s="18"/>
    </row>
    <row r="14" spans="1:16" x14ac:dyDescent="0.25">
      <c r="A14" t="s">
        <v>104</v>
      </c>
      <c r="B14" t="s">
        <v>101</v>
      </c>
      <c r="C14">
        <v>104.594870621225</v>
      </c>
      <c r="D14">
        <v>249</v>
      </c>
      <c r="F14" t="s">
        <v>134</v>
      </c>
      <c r="G14">
        <v>15.910456301120259</v>
      </c>
      <c r="J14" s="43" t="s">
        <v>178</v>
      </c>
      <c r="K14" s="45" t="s">
        <v>179</v>
      </c>
      <c r="L14" s="34" t="s">
        <v>180</v>
      </c>
      <c r="M14" s="34" t="s">
        <v>195</v>
      </c>
      <c r="N14" s="46"/>
      <c r="O14" s="68" t="s">
        <v>181</v>
      </c>
      <c r="P14" s="18"/>
    </row>
    <row r="15" spans="1:16" x14ac:dyDescent="0.25">
      <c r="A15" t="s">
        <v>104</v>
      </c>
      <c r="B15" t="s">
        <v>101</v>
      </c>
      <c r="C15">
        <v>98.530713798513403</v>
      </c>
      <c r="D15">
        <v>241</v>
      </c>
      <c r="F15" t="s">
        <v>135</v>
      </c>
      <c r="G15">
        <v>10.014962637341007</v>
      </c>
      <c r="J15" s="43" t="s">
        <v>164</v>
      </c>
      <c r="K15" s="45">
        <v>0.70187374801929114</v>
      </c>
      <c r="L15" s="34">
        <v>3.1523518872781216E-2</v>
      </c>
      <c r="M15" s="32">
        <v>2.5881215454310803E-2</v>
      </c>
      <c r="N15" s="42">
        <v>4.0334431539147869E-2</v>
      </c>
      <c r="O15" s="68">
        <v>3.1646425765544222</v>
      </c>
      <c r="P15" s="18"/>
    </row>
    <row r="16" spans="1:16" x14ac:dyDescent="0.25">
      <c r="A16" t="s">
        <v>104</v>
      </c>
      <c r="B16" t="s">
        <v>106</v>
      </c>
      <c r="C16">
        <v>96.039491787101397</v>
      </c>
      <c r="D16">
        <v>250</v>
      </c>
      <c r="F16" t="s">
        <v>136</v>
      </c>
      <c r="G16">
        <v>1.5886685629557695</v>
      </c>
      <c r="J16" s="43" t="s">
        <v>196</v>
      </c>
      <c r="K16" s="45">
        <v>0.29812625198070891</v>
      </c>
      <c r="L16" s="34">
        <v>2.0544960050292133E-2</v>
      </c>
      <c r="M16" s="34">
        <v>0</v>
      </c>
      <c r="N16" s="46">
        <v>3.7748494440878202E-2</v>
      </c>
      <c r="O16" s="68">
        <v>2.0625062694032894</v>
      </c>
      <c r="P16" s="18"/>
    </row>
    <row r="17" spans="1:16" x14ac:dyDescent="0.25">
      <c r="A17" t="s">
        <v>104</v>
      </c>
      <c r="B17" t="s">
        <v>106</v>
      </c>
      <c r="C17">
        <v>93.734562913754502</v>
      </c>
      <c r="D17">
        <v>245</v>
      </c>
      <c r="F17" t="s">
        <v>137</v>
      </c>
      <c r="G17">
        <v>1.3061445860523149</v>
      </c>
      <c r="J17" s="43" t="s">
        <v>197</v>
      </c>
      <c r="K17" s="45">
        <v>1</v>
      </c>
      <c r="L17" s="34">
        <v>3.7627484975622447E-2</v>
      </c>
      <c r="M17" s="32">
        <v>3.1650663597920368E-2</v>
      </c>
      <c r="N17" s="42">
        <v>4.9621001719379595E-2</v>
      </c>
      <c r="O17" s="68">
        <v>3.7774190591816637</v>
      </c>
      <c r="P17" s="18"/>
    </row>
    <row r="18" spans="1:16" x14ac:dyDescent="0.25">
      <c r="A18" t="s">
        <v>105</v>
      </c>
      <c r="B18" t="s">
        <v>101</v>
      </c>
      <c r="C18">
        <v>103.816993585125</v>
      </c>
      <c r="D18">
        <v>246</v>
      </c>
      <c r="F18" t="s">
        <v>138</v>
      </c>
      <c r="G18">
        <v>6.8056037697556953</v>
      </c>
      <c r="J18" s="43" t="s">
        <v>198</v>
      </c>
      <c r="K18" s="45">
        <v>0</v>
      </c>
      <c r="L18" s="34">
        <v>0</v>
      </c>
      <c r="M18" s="34">
        <v>0</v>
      </c>
      <c r="N18" s="46">
        <v>2.0190793907005913E-2</v>
      </c>
      <c r="O18" s="68">
        <v>0</v>
      </c>
      <c r="P18" s="18"/>
    </row>
    <row r="19" spans="1:16" x14ac:dyDescent="0.25">
      <c r="A19" t="s">
        <v>105</v>
      </c>
      <c r="B19" t="s">
        <v>101</v>
      </c>
      <c r="C19">
        <v>100.908936633932</v>
      </c>
      <c r="D19">
        <v>242</v>
      </c>
      <c r="F19" t="s">
        <v>139</v>
      </c>
      <c r="G19">
        <v>80</v>
      </c>
      <c r="J19" s="18" t="s">
        <v>182</v>
      </c>
      <c r="K19" s="18">
        <v>1</v>
      </c>
      <c r="L19" s="18">
        <v>3.7627484975622447E-2</v>
      </c>
      <c r="M19" s="18">
        <v>3.3627058708404052E-2</v>
      </c>
      <c r="N19" s="18">
        <v>4.5952437339526891E-2</v>
      </c>
      <c r="O19" s="18">
        <v>3.7774190591816637</v>
      </c>
      <c r="P19" s="18"/>
    </row>
    <row r="20" spans="1:16" x14ac:dyDescent="0.25">
      <c r="A20" t="s">
        <v>105</v>
      </c>
      <c r="B20" t="s">
        <v>106</v>
      </c>
      <c r="C20">
        <v>95.247126548386404</v>
      </c>
      <c r="D20">
        <v>243</v>
      </c>
      <c r="F20" t="s">
        <v>140</v>
      </c>
      <c r="G20">
        <v>20</v>
      </c>
      <c r="J20" s="19"/>
      <c r="K20" s="20"/>
      <c r="L20" s="20"/>
      <c r="M20" s="20"/>
      <c r="N20" s="20"/>
      <c r="O20" s="20"/>
      <c r="P20" s="20"/>
    </row>
    <row r="21" spans="1:16" x14ac:dyDescent="0.25">
      <c r="A21" t="s">
        <v>105</v>
      </c>
      <c r="B21" t="s">
        <v>106</v>
      </c>
      <c r="C21">
        <v>103.27943303077799</v>
      </c>
      <c r="D21">
        <v>240</v>
      </c>
      <c r="F21" t="s">
        <v>141</v>
      </c>
      <c r="G21">
        <v>2</v>
      </c>
      <c r="J21" s="18" t="s">
        <v>183</v>
      </c>
      <c r="K21" s="18"/>
      <c r="L21" s="18"/>
      <c r="M21" s="18"/>
      <c r="N21" s="18"/>
      <c r="O21" s="18"/>
      <c r="P21" s="18"/>
    </row>
    <row r="22" spans="1:16" x14ac:dyDescent="0.25">
      <c r="A22" t="s">
        <v>107</v>
      </c>
      <c r="B22" t="s">
        <v>101</v>
      </c>
      <c r="C22">
        <v>98.578804752151896</v>
      </c>
      <c r="D22">
        <v>244</v>
      </c>
      <c r="F22" t="s">
        <v>142</v>
      </c>
      <c r="G22">
        <v>2</v>
      </c>
      <c r="J22" s="27"/>
      <c r="K22" s="54"/>
      <c r="L22" s="55"/>
      <c r="M22" s="62"/>
      <c r="N22" s="56"/>
      <c r="O22" s="69"/>
      <c r="P22" s="69"/>
    </row>
    <row r="23" spans="1:16" ht="15" customHeight="1" x14ac:dyDescent="0.25">
      <c r="A23" t="s">
        <v>107</v>
      </c>
      <c r="B23" t="s">
        <v>101</v>
      </c>
      <c r="C23">
        <v>100.657733243134</v>
      </c>
      <c r="D23">
        <v>245</v>
      </c>
      <c r="F23" t="s">
        <v>143</v>
      </c>
      <c r="G23">
        <v>0</v>
      </c>
      <c r="J23" s="43" t="s">
        <v>184</v>
      </c>
      <c r="K23" s="52" t="s">
        <v>185</v>
      </c>
      <c r="L23" s="49" t="s">
        <v>186</v>
      </c>
      <c r="M23" s="53" t="s">
        <v>187</v>
      </c>
      <c r="N23" s="70" t="s">
        <v>188</v>
      </c>
      <c r="O23" s="47"/>
      <c r="P23" s="47"/>
    </row>
    <row r="24" spans="1:16" ht="15" customHeight="1" x14ac:dyDescent="0.25">
      <c r="A24" t="s">
        <v>107</v>
      </c>
      <c r="B24" t="s">
        <v>106</v>
      </c>
      <c r="C24">
        <v>104.575040466348</v>
      </c>
      <c r="D24">
        <v>251</v>
      </c>
      <c r="F24" t="s">
        <v>144</v>
      </c>
      <c r="G24">
        <v>2.9477468318896269</v>
      </c>
      <c r="J24" s="43" t="s">
        <v>98</v>
      </c>
      <c r="K24" s="52">
        <v>248.53879533730492</v>
      </c>
      <c r="L24" s="49">
        <v>19</v>
      </c>
      <c r="M24" s="53">
        <v>13.080989228279206</v>
      </c>
      <c r="N24" s="19" t="s">
        <v>199</v>
      </c>
      <c r="O24" s="20"/>
      <c r="P24" s="20"/>
    </row>
    <row r="25" spans="1:16" x14ac:dyDescent="0.25">
      <c r="A25" t="s">
        <v>107</v>
      </c>
      <c r="B25" t="s">
        <v>106</v>
      </c>
      <c r="C25">
        <v>102.107644530922</v>
      </c>
      <c r="D25">
        <v>247</v>
      </c>
      <c r="F25" t="s">
        <v>145</v>
      </c>
      <c r="G25">
        <v>10.014962637341007</v>
      </c>
      <c r="J25" s="43" t="s">
        <v>201</v>
      </c>
      <c r="K25" s="52">
        <v>370.45653719993516</v>
      </c>
      <c r="L25" s="49">
        <v>20</v>
      </c>
      <c r="M25" s="53">
        <v>18.522826859996758</v>
      </c>
      <c r="N25" s="19" t="s">
        <v>202</v>
      </c>
      <c r="O25" s="20"/>
      <c r="P25" s="20"/>
    </row>
    <row r="26" spans="1:16" x14ac:dyDescent="0.25">
      <c r="A26" t="s">
        <v>108</v>
      </c>
      <c r="B26" t="s">
        <v>101</v>
      </c>
      <c r="C26">
        <v>98.114225588836803</v>
      </c>
      <c r="D26">
        <v>241</v>
      </c>
      <c r="F26" t="s">
        <v>146</v>
      </c>
      <c r="G26">
        <v>0</v>
      </c>
      <c r="J26" t="s">
        <v>189</v>
      </c>
      <c r="K26">
        <v>400.59850549364046</v>
      </c>
      <c r="L26">
        <v>40</v>
      </c>
      <c r="M26">
        <v>10.014962637341011</v>
      </c>
      <c r="N26" t="s">
        <v>190</v>
      </c>
    </row>
    <row r="27" spans="1:16" x14ac:dyDescent="0.25">
      <c r="A27" t="s">
        <v>108</v>
      </c>
      <c r="B27" t="s">
        <v>101</v>
      </c>
      <c r="C27">
        <v>104.77635112279</v>
      </c>
      <c r="D27">
        <v>246</v>
      </c>
      <c r="F27" t="s">
        <v>147</v>
      </c>
      <c r="G27">
        <v>1.7169003558417788</v>
      </c>
    </row>
    <row r="28" spans="1:16" x14ac:dyDescent="0.25">
      <c r="A28" t="s">
        <v>108</v>
      </c>
      <c r="B28" t="s">
        <v>106</v>
      </c>
      <c r="C28">
        <v>102.46555249469699</v>
      </c>
      <c r="D28">
        <v>245</v>
      </c>
      <c r="F28" t="s">
        <v>148</v>
      </c>
      <c r="G28">
        <v>3.1646425765544213</v>
      </c>
    </row>
    <row r="29" spans="1:16" x14ac:dyDescent="0.25">
      <c r="A29" t="s">
        <v>108</v>
      </c>
      <c r="B29" t="s">
        <v>106</v>
      </c>
      <c r="C29">
        <v>99.938488746252204</v>
      </c>
      <c r="D29">
        <v>247</v>
      </c>
      <c r="F29" t="s">
        <v>149</v>
      </c>
      <c r="G29">
        <v>3.6003762955044896</v>
      </c>
    </row>
    <row r="30" spans="1:16" x14ac:dyDescent="0.25">
      <c r="A30" t="s">
        <v>109</v>
      </c>
      <c r="B30" t="s">
        <v>101</v>
      </c>
      <c r="C30">
        <v>103.061864182264</v>
      </c>
      <c r="D30">
        <v>245</v>
      </c>
      <c r="F30" t="s">
        <v>150</v>
      </c>
      <c r="G30">
        <v>0</v>
      </c>
      <c r="J30" t="s">
        <v>204</v>
      </c>
    </row>
    <row r="31" spans="1:16" x14ac:dyDescent="0.25">
      <c r="A31" t="s">
        <v>109</v>
      </c>
      <c r="B31" t="s">
        <v>101</v>
      </c>
      <c r="C31">
        <v>102.96684523714001</v>
      </c>
      <c r="D31">
        <v>245</v>
      </c>
      <c r="F31" t="s">
        <v>151</v>
      </c>
      <c r="G31">
        <v>1.7102323393812926E-2</v>
      </c>
      <c r="J31" t="s">
        <v>205</v>
      </c>
    </row>
    <row r="32" spans="1:16" x14ac:dyDescent="0.25">
      <c r="A32" t="s">
        <v>109</v>
      </c>
      <c r="B32" t="s">
        <v>106</v>
      </c>
      <c r="C32">
        <v>90.750612406640599</v>
      </c>
      <c r="D32">
        <v>243</v>
      </c>
      <c r="F32" t="s">
        <v>152</v>
      </c>
      <c r="G32">
        <v>3.1523518872781216E-2</v>
      </c>
    </row>
    <row r="33" spans="1:16" x14ac:dyDescent="0.25">
      <c r="A33" t="s">
        <v>109</v>
      </c>
      <c r="B33" t="s">
        <v>106</v>
      </c>
      <c r="C33">
        <v>93.400877471520005</v>
      </c>
      <c r="D33">
        <v>245</v>
      </c>
      <c r="F33" t="s">
        <v>153</v>
      </c>
      <c r="G33">
        <v>3.5863933242035156E-2</v>
      </c>
      <c r="J33" t="s">
        <v>208</v>
      </c>
      <c r="K33" t="s">
        <v>186</v>
      </c>
      <c r="L33" t="s">
        <v>185</v>
      </c>
      <c r="M33" t="s">
        <v>187</v>
      </c>
      <c r="N33" t="s">
        <v>209</v>
      </c>
      <c r="O33" t="s">
        <v>181</v>
      </c>
      <c r="P33" t="s">
        <v>180</v>
      </c>
    </row>
    <row r="34" spans="1:16" x14ac:dyDescent="0.25">
      <c r="A34" t="s">
        <v>110</v>
      </c>
      <c r="B34" t="s">
        <v>101</v>
      </c>
      <c r="C34">
        <v>100.50394565867001</v>
      </c>
      <c r="D34">
        <v>243</v>
      </c>
      <c r="F34" t="s">
        <v>154</v>
      </c>
      <c r="G34">
        <v>74.263217127883351</v>
      </c>
      <c r="J34" t="s">
        <v>167</v>
      </c>
      <c r="K34">
        <v>72.003827000000001</v>
      </c>
      <c r="N34">
        <v>14.268895000000001</v>
      </c>
      <c r="O34">
        <v>3.7774190000000001</v>
      </c>
      <c r="P34">
        <v>3.7627480000000002</v>
      </c>
    </row>
    <row r="35" spans="1:16" x14ac:dyDescent="0.25">
      <c r="A35" t="s">
        <v>110</v>
      </c>
      <c r="B35" t="s">
        <v>101</v>
      </c>
      <c r="C35">
        <v>99.862939218668402</v>
      </c>
      <c r="D35">
        <v>239</v>
      </c>
      <c r="F35" t="s">
        <v>155</v>
      </c>
      <c r="G35">
        <v>3.1029117072908172</v>
      </c>
      <c r="J35" t="s">
        <v>98</v>
      </c>
      <c r="K35">
        <v>19</v>
      </c>
      <c r="L35">
        <v>248.53879499999999</v>
      </c>
      <c r="M35">
        <v>13.080989000000001</v>
      </c>
      <c r="N35">
        <v>0</v>
      </c>
      <c r="O35">
        <v>0</v>
      </c>
      <c r="P35">
        <v>0</v>
      </c>
    </row>
    <row r="36" spans="1:16" x14ac:dyDescent="0.25">
      <c r="A36" t="s">
        <v>110</v>
      </c>
      <c r="B36" t="s">
        <v>106</v>
      </c>
      <c r="C36">
        <v>98.9347816938037</v>
      </c>
      <c r="D36">
        <v>244</v>
      </c>
      <c r="F36" t="s">
        <v>156</v>
      </c>
      <c r="G36">
        <v>4.2892958004324999</v>
      </c>
      <c r="J36" t="s">
        <v>210</v>
      </c>
      <c r="K36">
        <v>20</v>
      </c>
      <c r="L36">
        <v>370.45653700000003</v>
      </c>
      <c r="M36">
        <v>18.522826999999999</v>
      </c>
      <c r="N36">
        <v>4.2539319999999998</v>
      </c>
      <c r="O36">
        <v>2.062506</v>
      </c>
      <c r="P36">
        <v>2.0544959999999999</v>
      </c>
    </row>
    <row r="37" spans="1:16" x14ac:dyDescent="0.25">
      <c r="A37" t="s">
        <v>110</v>
      </c>
      <c r="B37" t="s">
        <v>106</v>
      </c>
      <c r="C37">
        <v>102.18390876234</v>
      </c>
      <c r="D37">
        <v>245</v>
      </c>
      <c r="F37" t="s">
        <v>157</v>
      </c>
      <c r="G37">
        <v>2.5982123598024129</v>
      </c>
      <c r="J37" t="s">
        <v>189</v>
      </c>
      <c r="K37">
        <v>40</v>
      </c>
      <c r="L37">
        <v>400.59850499999999</v>
      </c>
      <c r="M37">
        <v>10.014963</v>
      </c>
      <c r="N37">
        <v>10.014963</v>
      </c>
      <c r="O37">
        <v>3.1646429999999999</v>
      </c>
      <c r="P37">
        <v>3.152352</v>
      </c>
    </row>
    <row r="38" spans="1:16" x14ac:dyDescent="0.25">
      <c r="A38" t="s">
        <v>111</v>
      </c>
      <c r="B38" t="s">
        <v>101</v>
      </c>
      <c r="C38">
        <v>95.955394569818196</v>
      </c>
      <c r="D38">
        <v>244</v>
      </c>
      <c r="F38" t="s">
        <v>158</v>
      </c>
      <c r="G38">
        <v>4.049169125596829</v>
      </c>
    </row>
    <row r="39" spans="1:16" x14ac:dyDescent="0.25">
      <c r="A39" t="s">
        <v>111</v>
      </c>
      <c r="B39" t="s">
        <v>101</v>
      </c>
      <c r="C39">
        <v>108.471792595466</v>
      </c>
      <c r="D39">
        <v>246</v>
      </c>
      <c r="F39" t="s">
        <v>159</v>
      </c>
      <c r="G39">
        <v>3.0908607654471329E-2</v>
      </c>
      <c r="J39" t="s">
        <v>206</v>
      </c>
    </row>
    <row r="40" spans="1:16" x14ac:dyDescent="0.25">
      <c r="A40" t="s">
        <v>111</v>
      </c>
      <c r="B40" t="s">
        <v>106</v>
      </c>
      <c r="C40">
        <v>99.493795247262895</v>
      </c>
      <c r="D40">
        <v>247</v>
      </c>
      <c r="F40" t="s">
        <v>160</v>
      </c>
      <c r="G40">
        <v>4.2726372361169523E-2</v>
      </c>
    </row>
    <row r="41" spans="1:16" x14ac:dyDescent="0.25">
      <c r="A41" t="s">
        <v>111</v>
      </c>
      <c r="B41" t="s">
        <v>106</v>
      </c>
      <c r="C41">
        <v>95.755952301741203</v>
      </c>
      <c r="D41">
        <v>239</v>
      </c>
      <c r="F41" t="s">
        <v>161</v>
      </c>
      <c r="G41">
        <v>2.5881215454321715E-2</v>
      </c>
    </row>
    <row r="42" spans="1:16" x14ac:dyDescent="0.25">
      <c r="A42" t="s">
        <v>112</v>
      </c>
      <c r="B42" t="s">
        <v>101</v>
      </c>
      <c r="C42">
        <v>106.64351196067599</v>
      </c>
      <c r="D42">
        <v>252</v>
      </c>
      <c r="F42" t="s">
        <v>162</v>
      </c>
      <c r="G42">
        <v>4.0334431539125061E-2</v>
      </c>
    </row>
    <row r="43" spans="1:16" x14ac:dyDescent="0.25">
      <c r="A43" t="s">
        <v>112</v>
      </c>
      <c r="B43" t="s">
        <v>101</v>
      </c>
      <c r="C43">
        <v>98.852209551491597</v>
      </c>
      <c r="D43">
        <v>251</v>
      </c>
      <c r="F43" t="s">
        <v>162</v>
      </c>
      <c r="G43">
        <v>4.7943044096376383E-2</v>
      </c>
    </row>
    <row r="44" spans="1:16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16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16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16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16" x14ac:dyDescent="0.25">
      <c r="A48" t="s">
        <v>113</v>
      </c>
      <c r="B48" t="s">
        <v>106</v>
      </c>
      <c r="C48">
        <v>106.095248879312</v>
      </c>
      <c r="D48">
        <v>251</v>
      </c>
    </row>
    <row r="49" spans="1:10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10" x14ac:dyDescent="0.25">
      <c r="A50" t="s">
        <v>114</v>
      </c>
      <c r="B50" t="s">
        <v>101</v>
      </c>
      <c r="C50">
        <v>100.65363630873</v>
      </c>
      <c r="D50">
        <v>242</v>
      </c>
      <c r="J50" t="s">
        <v>207</v>
      </c>
    </row>
    <row r="51" spans="1:10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10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10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10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10" x14ac:dyDescent="0.25">
      <c r="A55" t="s">
        <v>115</v>
      </c>
      <c r="B55" t="s">
        <v>101</v>
      </c>
      <c r="C55">
        <v>103.745049689742</v>
      </c>
      <c r="D55">
        <v>249</v>
      </c>
    </row>
    <row r="56" spans="1:10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10" x14ac:dyDescent="0.25">
      <c r="A57" t="s">
        <v>115</v>
      </c>
      <c r="B57" t="s">
        <v>106</v>
      </c>
      <c r="C57">
        <v>104.182440367005</v>
      </c>
      <c r="D57">
        <v>240</v>
      </c>
    </row>
    <row r="58" spans="1:10" x14ac:dyDescent="0.25">
      <c r="A58" t="s">
        <v>116</v>
      </c>
      <c r="B58" t="s">
        <v>101</v>
      </c>
      <c r="C58">
        <v>100.320280613403</v>
      </c>
      <c r="D58">
        <v>247</v>
      </c>
    </row>
    <row r="59" spans="1:10" x14ac:dyDescent="0.25">
      <c r="A59" t="s">
        <v>116</v>
      </c>
      <c r="B59" t="s">
        <v>101</v>
      </c>
      <c r="C59">
        <v>100.64591214593</v>
      </c>
      <c r="D59">
        <v>248</v>
      </c>
    </row>
    <row r="60" spans="1:10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10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10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10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10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  <customProperties>
    <customPr name="__ai3_dataset_1753400505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B62E-C183-4D29-A9A9-387646CEF91A}">
  <dimension ref="A1:Y167"/>
  <sheetViews>
    <sheetView topLeftCell="A8" workbookViewId="0">
      <selection activeCell="Q38" sqref="Q38"/>
    </sheetView>
  </sheetViews>
  <sheetFormatPr defaultRowHeight="15" x14ac:dyDescent="0.25"/>
  <sheetData>
    <row r="1" spans="1:25" x14ac:dyDescent="0.25">
      <c r="B1" t="s">
        <v>98</v>
      </c>
      <c r="C1" t="s">
        <v>99</v>
      </c>
      <c r="D1" t="s">
        <v>192</v>
      </c>
      <c r="F1" t="s">
        <v>98</v>
      </c>
      <c r="G1" t="s">
        <v>101</v>
      </c>
      <c r="H1" t="s">
        <v>101</v>
      </c>
      <c r="I1" t="s">
        <v>106</v>
      </c>
      <c r="J1" t="s">
        <v>106</v>
      </c>
      <c r="L1" t="s">
        <v>216</v>
      </c>
      <c r="M1" t="s">
        <v>214</v>
      </c>
      <c r="N1" t="s">
        <v>218</v>
      </c>
      <c r="P1" t="s">
        <v>211</v>
      </c>
      <c r="Q1" t="s">
        <v>211</v>
      </c>
      <c r="T1" t="s">
        <v>220</v>
      </c>
      <c r="Y1" t="s">
        <v>216</v>
      </c>
    </row>
    <row r="2" spans="1:25" x14ac:dyDescent="0.25">
      <c r="A2">
        <v>1</v>
      </c>
      <c r="B2" t="s">
        <v>100</v>
      </c>
      <c r="C2" t="s">
        <v>101</v>
      </c>
      <c r="D2">
        <v>105.91254948744201</v>
      </c>
      <c r="F2" t="s">
        <v>100</v>
      </c>
      <c r="G2">
        <v>105.91254948744201</v>
      </c>
      <c r="H2">
        <v>103.459443897618</v>
      </c>
      <c r="I2">
        <v>100.374620448402</v>
      </c>
      <c r="J2">
        <v>103.765913942498</v>
      </c>
      <c r="L2">
        <f>AVERAGE(G2:J2)</f>
        <v>103.37813194399</v>
      </c>
      <c r="M2">
        <f>POWER(L2-$Q$26,2)</f>
        <v>8.9295928538697478</v>
      </c>
      <c r="N2">
        <f>COUNT(G2:J2)</f>
        <v>4</v>
      </c>
      <c r="O2">
        <f>M2*N2</f>
        <v>35.718371415478991</v>
      </c>
      <c r="P2">
        <f>DEVSQ(G2:H2)</f>
        <v>3.008863517412891</v>
      </c>
      <c r="Q2">
        <f>DEVSQ(I2:J2)</f>
        <v>5.7504357815489424</v>
      </c>
      <c r="R2">
        <f>COUNT(G2:H2)</f>
        <v>2</v>
      </c>
      <c r="S2">
        <f>COUNT(I2:J2)</f>
        <v>2</v>
      </c>
      <c r="T2">
        <f>POWER(G2-$Q$26,2)</f>
        <v>30.499773244128708</v>
      </c>
      <c r="U2">
        <f t="shared" ref="U2:W17" si="0">POWER(H2-$Q$26,2)</f>
        <v>9.4221641483766394</v>
      </c>
      <c r="V2">
        <f t="shared" si="0"/>
        <v>2.331441931771021E-4</v>
      </c>
      <c r="W2">
        <f t="shared" si="0"/>
        <v>11.397540979636792</v>
      </c>
    </row>
    <row r="3" spans="1:25" x14ac:dyDescent="0.25">
      <c r="A3">
        <v>2</v>
      </c>
      <c r="B3" t="s">
        <v>100</v>
      </c>
      <c r="C3" t="s">
        <v>101</v>
      </c>
      <c r="D3">
        <v>103.459443897618</v>
      </c>
      <c r="F3" t="s">
        <v>102</v>
      </c>
      <c r="G3">
        <v>101.52339031338801</v>
      </c>
      <c r="H3">
        <v>101.334799870363</v>
      </c>
      <c r="I3">
        <v>102.72422719070801</v>
      </c>
      <c r="J3">
        <v>99.324477084567704</v>
      </c>
      <c r="L3">
        <f t="shared" ref="L3:L21" si="1">AVERAGE(G3:J3)</f>
        <v>101.22672361475668</v>
      </c>
      <c r="M3">
        <f t="shared" ref="M3:M21" si="2">POWER(L3-$Q$26,2)</f>
        <v>0.70029132156427387</v>
      </c>
      <c r="N3">
        <f t="shared" ref="N3:N21" si="3">COUNT(G3:J3)</f>
        <v>4</v>
      </c>
      <c r="O3">
        <f t="shared" ref="O3:O21" si="4">M3*N3</f>
        <v>2.8011652862570955</v>
      </c>
      <c r="P3">
        <f t="shared" ref="P3:P21" si="5">DEVSQ(G3:H3)</f>
        <v>1.7783177600184108E-2</v>
      </c>
      <c r="Q3">
        <f t="shared" ref="Q3:Q21" si="6">DEVSQ(I3:J3)</f>
        <v>5.7791503921005001</v>
      </c>
      <c r="R3">
        <f t="shared" ref="R3:R21" si="7">COUNT(G3:H3)</f>
        <v>2</v>
      </c>
      <c r="S3">
        <f t="shared" ref="S3:S21" si="8">COUNT(I3:J3)</f>
        <v>2</v>
      </c>
      <c r="T3">
        <f t="shared" ref="T3:T21" si="9">POWER(G3-$Q$26,2)</f>
        <v>1.2848240749118338</v>
      </c>
      <c r="U3">
        <f t="shared" si="0"/>
        <v>0.89285559214786114</v>
      </c>
      <c r="V3">
        <f t="shared" si="0"/>
        <v>5.4491324150500677</v>
      </c>
      <c r="W3">
        <f t="shared" si="0"/>
        <v>1.1351036328530355</v>
      </c>
    </row>
    <row r="4" spans="1:25" x14ac:dyDescent="0.25">
      <c r="A4">
        <v>3</v>
      </c>
      <c r="B4" t="s">
        <v>100</v>
      </c>
      <c r="C4" t="s">
        <v>106</v>
      </c>
      <c r="D4">
        <v>100.374620448402</v>
      </c>
      <c r="F4" t="s">
        <v>103</v>
      </c>
      <c r="G4">
        <v>104.639388464438</v>
      </c>
      <c r="H4">
        <v>94.140946998019203</v>
      </c>
      <c r="I4">
        <v>95.331980483197896</v>
      </c>
      <c r="J4">
        <v>98.001881267459893</v>
      </c>
      <c r="L4">
        <f t="shared" si="1"/>
        <v>98.028549303278751</v>
      </c>
      <c r="M4">
        <f t="shared" si="2"/>
        <v>5.5759275643150286</v>
      </c>
      <c r="N4">
        <f t="shared" si="3"/>
        <v>4</v>
      </c>
      <c r="O4">
        <f t="shared" si="4"/>
        <v>22.303710257260114</v>
      </c>
      <c r="P4">
        <f t="shared" si="5"/>
        <v>55.108636611910825</v>
      </c>
      <c r="Q4">
        <f t="shared" si="6"/>
        <v>3.5641850989014152</v>
      </c>
      <c r="R4">
        <f t="shared" si="7"/>
        <v>2</v>
      </c>
      <c r="S4">
        <f t="shared" si="8"/>
        <v>2</v>
      </c>
      <c r="T4">
        <f t="shared" si="9"/>
        <v>18.058241377380703</v>
      </c>
      <c r="U4">
        <f t="shared" si="0"/>
        <v>39.049282498025647</v>
      </c>
      <c r="V4">
        <f t="shared" si="0"/>
        <v>25.58244370720584</v>
      </c>
      <c r="W4">
        <f t="shared" si="0"/>
        <v>5.7025833587907506</v>
      </c>
    </row>
    <row r="5" spans="1:25" x14ac:dyDescent="0.25">
      <c r="A5">
        <v>4</v>
      </c>
      <c r="B5" t="s">
        <v>100</v>
      </c>
      <c r="C5" t="s">
        <v>106</v>
      </c>
      <c r="D5">
        <v>103.765913942498</v>
      </c>
      <c r="F5" t="s">
        <v>104</v>
      </c>
      <c r="G5">
        <v>104.594870621225</v>
      </c>
      <c r="H5">
        <v>98.530713798513403</v>
      </c>
      <c r="I5">
        <v>96.039491787101397</v>
      </c>
      <c r="J5">
        <v>93.734562913754502</v>
      </c>
      <c r="L5">
        <f t="shared" si="1"/>
        <v>98.224909780148579</v>
      </c>
      <c r="M5">
        <f t="shared" si="2"/>
        <v>4.6871372237331501</v>
      </c>
      <c r="N5">
        <f t="shared" si="3"/>
        <v>4</v>
      </c>
      <c r="O5">
        <f t="shared" si="4"/>
        <v>18.7485488949326</v>
      </c>
      <c r="P5">
        <f t="shared" si="5"/>
        <v>18.386998985219797</v>
      </c>
      <c r="Q5">
        <f t="shared" si="6"/>
        <v>2.6563485555940947</v>
      </c>
      <c r="R5">
        <f t="shared" si="7"/>
        <v>2</v>
      </c>
      <c r="S5">
        <f t="shared" si="8"/>
        <v>2</v>
      </c>
      <c r="T5">
        <f t="shared" si="9"/>
        <v>17.681866159227489</v>
      </c>
      <c r="U5">
        <f t="shared" si="0"/>
        <v>3.456534320226794</v>
      </c>
      <c r="V5">
        <f t="shared" si="0"/>
        <v>18.92596033346712</v>
      </c>
      <c r="W5">
        <f t="shared" si="0"/>
        <v>44.293372081375821</v>
      </c>
    </row>
    <row r="6" spans="1:25" x14ac:dyDescent="0.25">
      <c r="A6">
        <v>5</v>
      </c>
      <c r="B6" t="s">
        <v>102</v>
      </c>
      <c r="C6" t="s">
        <v>101</v>
      </c>
      <c r="D6">
        <v>101.52339031338801</v>
      </c>
      <c r="F6" t="s">
        <v>105</v>
      </c>
      <c r="G6">
        <v>103.816993585125</v>
      </c>
      <c r="H6">
        <v>100.908936633932</v>
      </c>
      <c r="I6">
        <v>95.247126548386404</v>
      </c>
      <c r="J6">
        <v>103.27943303077799</v>
      </c>
      <c r="L6">
        <f t="shared" si="1"/>
        <v>100.81312244955535</v>
      </c>
      <c r="M6">
        <f t="shared" si="2"/>
        <v>0.17912612248026924</v>
      </c>
      <c r="N6">
        <f t="shared" si="3"/>
        <v>4</v>
      </c>
      <c r="O6">
        <f t="shared" si="4"/>
        <v>0.71650448992107696</v>
      </c>
      <c r="P6">
        <f t="shared" si="5"/>
        <v>4.2283976156909739</v>
      </c>
      <c r="Q6">
        <f t="shared" si="6"/>
        <v>32.258973713534978</v>
      </c>
      <c r="R6">
        <f t="shared" si="7"/>
        <v>2</v>
      </c>
      <c r="S6">
        <f t="shared" si="8"/>
        <v>2</v>
      </c>
      <c r="T6">
        <f t="shared" si="9"/>
        <v>11.745042352715352</v>
      </c>
      <c r="U6">
        <f t="shared" si="0"/>
        <v>0.26940991852457841</v>
      </c>
      <c r="V6">
        <f t="shared" si="0"/>
        <v>26.448010862872483</v>
      </c>
      <c r="W6">
        <f t="shared" si="0"/>
        <v>8.3494617677252325</v>
      </c>
    </row>
    <row r="7" spans="1:25" x14ac:dyDescent="0.25">
      <c r="A7">
        <v>6</v>
      </c>
      <c r="B7" t="s">
        <v>102</v>
      </c>
      <c r="C7" t="s">
        <v>101</v>
      </c>
      <c r="D7">
        <v>101.334799870363</v>
      </c>
      <c r="F7" t="s">
        <v>107</v>
      </c>
      <c r="G7">
        <v>98.578804752151896</v>
      </c>
      <c r="H7">
        <v>100.657733243134</v>
      </c>
      <c r="I7">
        <v>104.575040466348</v>
      </c>
      <c r="J7">
        <v>102.107644530922</v>
      </c>
      <c r="L7">
        <f t="shared" si="1"/>
        <v>101.47980574813899</v>
      </c>
      <c r="M7">
        <f t="shared" si="2"/>
        <v>1.1879174096500169</v>
      </c>
      <c r="N7">
        <f t="shared" si="3"/>
        <v>4</v>
      </c>
      <c r="O7">
        <f t="shared" si="4"/>
        <v>4.7516696386000676</v>
      </c>
      <c r="P7">
        <f t="shared" si="5"/>
        <v>2.1609718353085716</v>
      </c>
      <c r="Q7">
        <f t="shared" si="6"/>
        <v>3.0440213510783671</v>
      </c>
      <c r="R7">
        <f t="shared" si="7"/>
        <v>2</v>
      </c>
      <c r="S7">
        <f t="shared" si="8"/>
        <v>2</v>
      </c>
      <c r="T7">
        <f t="shared" si="9"/>
        <v>3.2800279943088602</v>
      </c>
      <c r="U7">
        <f t="shared" si="0"/>
        <v>7.1740266237057107E-2</v>
      </c>
      <c r="V7">
        <f t="shared" si="0"/>
        <v>17.515488540825523</v>
      </c>
      <c r="W7">
        <f t="shared" si="0"/>
        <v>2.950682317404679</v>
      </c>
    </row>
    <row r="8" spans="1:25" x14ac:dyDescent="0.25">
      <c r="A8">
        <v>7</v>
      </c>
      <c r="B8" t="s">
        <v>102</v>
      </c>
      <c r="C8" t="s">
        <v>106</v>
      </c>
      <c r="D8">
        <v>102.72422719070801</v>
      </c>
      <c r="F8" t="s">
        <v>108</v>
      </c>
      <c r="G8">
        <v>98.114225588836803</v>
      </c>
      <c r="H8">
        <v>104.77635112279</v>
      </c>
      <c r="I8">
        <v>102.46555249469699</v>
      </c>
      <c r="J8">
        <v>99.938488746252204</v>
      </c>
      <c r="L8">
        <f t="shared" si="1"/>
        <v>101.323654488144</v>
      </c>
      <c r="M8">
        <f t="shared" si="2"/>
        <v>0.87191703739909554</v>
      </c>
      <c r="N8">
        <f t="shared" si="3"/>
        <v>4</v>
      </c>
      <c r="O8">
        <f t="shared" si="4"/>
        <v>3.4876681495963822</v>
      </c>
      <c r="P8">
        <f t="shared" si="5"/>
        <v>22.191958315075613</v>
      </c>
      <c r="Q8">
        <f t="shared" si="6"/>
        <v>3.1930255943519135</v>
      </c>
      <c r="R8">
        <f t="shared" si="7"/>
        <v>2</v>
      </c>
      <c r="S8">
        <f t="shared" si="8"/>
        <v>2</v>
      </c>
      <c r="T8">
        <f t="shared" si="9"/>
        <v>5.1786462747949571</v>
      </c>
      <c r="U8">
        <f t="shared" si="0"/>
        <v>19.241045494530024</v>
      </c>
      <c r="V8">
        <f t="shared" si="0"/>
        <v>4.3083768326895333</v>
      </c>
      <c r="W8">
        <f t="shared" si="0"/>
        <v>0.2037626480662664</v>
      </c>
    </row>
    <row r="9" spans="1:25" x14ac:dyDescent="0.25">
      <c r="A9">
        <v>8</v>
      </c>
      <c r="B9" t="s">
        <v>102</v>
      </c>
      <c r="C9" t="s">
        <v>106</v>
      </c>
      <c r="D9">
        <v>99.324477084567704</v>
      </c>
      <c r="F9" t="s">
        <v>109</v>
      </c>
      <c r="G9">
        <v>103.061864182264</v>
      </c>
      <c r="H9">
        <v>102.96684523714001</v>
      </c>
      <c r="I9">
        <v>90.750612406640599</v>
      </c>
      <c r="J9">
        <v>93.400877471520005</v>
      </c>
      <c r="L9">
        <f t="shared" si="1"/>
        <v>97.545049824391157</v>
      </c>
      <c r="M9">
        <f t="shared" si="2"/>
        <v>8.0931128277030631</v>
      </c>
      <c r="N9">
        <f t="shared" si="3"/>
        <v>4</v>
      </c>
      <c r="O9">
        <f t="shared" si="4"/>
        <v>32.372451310812252</v>
      </c>
      <c r="P9">
        <f t="shared" si="5"/>
        <v>4.5142999662385244E-3</v>
      </c>
      <c r="Q9">
        <f t="shared" si="6"/>
        <v>3.5119524570601208</v>
      </c>
      <c r="R9">
        <f t="shared" si="7"/>
        <v>2</v>
      </c>
      <c r="S9">
        <f t="shared" si="8"/>
        <v>2</v>
      </c>
      <c r="T9">
        <f t="shared" si="9"/>
        <v>7.139448657778602</v>
      </c>
      <c r="U9">
        <f t="shared" si="0"/>
        <v>6.6407008278936122</v>
      </c>
      <c r="V9">
        <f t="shared" si="0"/>
        <v>92.915663044474414</v>
      </c>
      <c r="W9">
        <f t="shared" si="0"/>
        <v>48.846289251632648</v>
      </c>
    </row>
    <row r="10" spans="1:25" x14ac:dyDescent="0.25">
      <c r="A10">
        <v>9</v>
      </c>
      <c r="B10" t="s">
        <v>103</v>
      </c>
      <c r="C10" t="s">
        <v>101</v>
      </c>
      <c r="D10">
        <v>104.639388464438</v>
      </c>
      <c r="F10" t="s">
        <v>110</v>
      </c>
      <c r="G10">
        <v>100.50394565867001</v>
      </c>
      <c r="H10">
        <v>99.862939218668402</v>
      </c>
      <c r="I10">
        <v>98.9347816938037</v>
      </c>
      <c r="J10">
        <v>102.18390876234</v>
      </c>
      <c r="L10">
        <f t="shared" si="1"/>
        <v>100.37139383337052</v>
      </c>
      <c r="M10">
        <f t="shared" si="2"/>
        <v>3.4208999474109869E-4</v>
      </c>
      <c r="N10">
        <f t="shared" si="3"/>
        <v>4</v>
      </c>
      <c r="O10">
        <f t="shared" si="4"/>
        <v>1.3683599789643948E-3</v>
      </c>
      <c r="P10">
        <f t="shared" si="5"/>
        <v>0.20544462806176497</v>
      </c>
      <c r="Q10">
        <f t="shared" si="6"/>
        <v>5.2784133537476334</v>
      </c>
      <c r="R10">
        <f t="shared" si="7"/>
        <v>2</v>
      </c>
      <c r="S10">
        <f t="shared" si="8"/>
        <v>2</v>
      </c>
      <c r="T10">
        <f t="shared" si="9"/>
        <v>1.3008805414753738E-2</v>
      </c>
      <c r="U10">
        <f t="shared" si="0"/>
        <v>0.27767660784664633</v>
      </c>
      <c r="V10">
        <f t="shared" si="0"/>
        <v>2.117338752094887</v>
      </c>
      <c r="W10">
        <f t="shared" si="0"/>
        <v>3.2185050835127633</v>
      </c>
    </row>
    <row r="11" spans="1:25" x14ac:dyDescent="0.25">
      <c r="A11">
        <v>10</v>
      </c>
      <c r="B11" t="s">
        <v>103</v>
      </c>
      <c r="C11" t="s">
        <v>101</v>
      </c>
      <c r="D11">
        <v>94.140946998019203</v>
      </c>
      <c r="F11" t="s">
        <v>111</v>
      </c>
      <c r="G11">
        <v>95.955394569818196</v>
      </c>
      <c r="H11">
        <v>108.471792595466</v>
      </c>
      <c r="I11">
        <v>99.493795247262895</v>
      </c>
      <c r="J11">
        <v>95.755952301741203</v>
      </c>
      <c r="L11">
        <f t="shared" si="1"/>
        <v>99.91923367857207</v>
      </c>
      <c r="M11">
        <f t="shared" si="2"/>
        <v>0.22151691014961594</v>
      </c>
      <c r="N11">
        <f t="shared" si="3"/>
        <v>4</v>
      </c>
      <c r="O11">
        <f t="shared" si="4"/>
        <v>0.88606764059846377</v>
      </c>
      <c r="P11">
        <f t="shared" si="5"/>
        <v>78.330109768220098</v>
      </c>
      <c r="Q11">
        <f t="shared" si="6"/>
        <v>6.9857349426931385</v>
      </c>
      <c r="R11">
        <f t="shared" si="7"/>
        <v>2</v>
      </c>
      <c r="S11">
        <f t="shared" si="8"/>
        <v>2</v>
      </c>
      <c r="T11">
        <f t="shared" si="9"/>
        <v>19.664745360294429</v>
      </c>
      <c r="U11">
        <f t="shared" si="0"/>
        <v>65.317157508750995</v>
      </c>
      <c r="V11">
        <f t="shared" si="0"/>
        <v>0.80298492484018547</v>
      </c>
      <c r="W11">
        <f t="shared" si="0"/>
        <v>21.47337403524293</v>
      </c>
    </row>
    <row r="12" spans="1:25" x14ac:dyDescent="0.25">
      <c r="A12">
        <v>11</v>
      </c>
      <c r="B12" t="s">
        <v>103</v>
      </c>
      <c r="C12" t="s">
        <v>106</v>
      </c>
      <c r="D12">
        <v>95.331980483197896</v>
      </c>
      <c r="F12" t="s">
        <v>112</v>
      </c>
      <c r="G12">
        <v>106.64351196067599</v>
      </c>
      <c r="H12">
        <v>98.852209551491597</v>
      </c>
      <c r="I12">
        <v>99.493433384858406</v>
      </c>
      <c r="J12">
        <v>98.634645392121001</v>
      </c>
      <c r="L12">
        <f t="shared" si="1"/>
        <v>100.90595007228674</v>
      </c>
      <c r="M12">
        <f t="shared" si="2"/>
        <v>0.26631850560063958</v>
      </c>
      <c r="N12">
        <f t="shared" si="3"/>
        <v>4</v>
      </c>
      <c r="O12">
        <f t="shared" si="4"/>
        <v>1.0652740224025583</v>
      </c>
      <c r="P12">
        <f t="shared" si="5"/>
        <v>30.35219661568129</v>
      </c>
      <c r="Q12">
        <f t="shared" si="6"/>
        <v>0.3687584082349703</v>
      </c>
      <c r="R12">
        <f t="shared" si="7"/>
        <v>2</v>
      </c>
      <c r="S12">
        <f t="shared" si="8"/>
        <v>2</v>
      </c>
      <c r="T12">
        <f t="shared" si="9"/>
        <v>39.107793775629041</v>
      </c>
      <c r="U12">
        <f t="shared" si="0"/>
        <v>2.3644596498732473</v>
      </c>
      <c r="V12">
        <f t="shared" si="0"/>
        <v>0.80363358143255192</v>
      </c>
      <c r="W12">
        <f t="shared" si="0"/>
        <v>3.0808819077268157</v>
      </c>
    </row>
    <row r="13" spans="1:25" x14ac:dyDescent="0.25">
      <c r="A13">
        <v>12</v>
      </c>
      <c r="B13" t="s">
        <v>103</v>
      </c>
      <c r="C13" t="s">
        <v>106</v>
      </c>
      <c r="D13">
        <v>98.001881267459893</v>
      </c>
      <c r="F13" t="s">
        <v>113</v>
      </c>
      <c r="G13">
        <v>99.262354950237295</v>
      </c>
      <c r="H13">
        <v>99.053648233066596</v>
      </c>
      <c r="I13">
        <v>106.095248879312</v>
      </c>
      <c r="J13">
        <v>105.28232972817899</v>
      </c>
      <c r="L13">
        <f t="shared" si="1"/>
        <v>102.42339544769872</v>
      </c>
      <c r="M13">
        <f t="shared" si="2"/>
        <v>4.1351464051692401</v>
      </c>
      <c r="N13">
        <f t="shared" si="3"/>
        <v>4</v>
      </c>
      <c r="O13">
        <f t="shared" si="4"/>
        <v>16.540585620676961</v>
      </c>
      <c r="P13">
        <f t="shared" si="5"/>
        <v>2.1779246896085094E-2</v>
      </c>
      <c r="Q13">
        <f t="shared" si="6"/>
        <v>0.33041877313940032</v>
      </c>
      <c r="R13">
        <f t="shared" si="7"/>
        <v>2</v>
      </c>
      <c r="S13">
        <f t="shared" si="8"/>
        <v>2</v>
      </c>
      <c r="T13">
        <f t="shared" si="9"/>
        <v>1.2713341798478079</v>
      </c>
      <c r="U13">
        <f t="shared" si="0"/>
        <v>1.7855407459006623</v>
      </c>
      <c r="V13">
        <f t="shared" si="0"/>
        <v>32.55112555127031</v>
      </c>
      <c r="W13">
        <f t="shared" si="0"/>
        <v>23.935971304125694</v>
      </c>
    </row>
    <row r="14" spans="1:25" x14ac:dyDescent="0.25">
      <c r="A14">
        <v>13</v>
      </c>
      <c r="B14" t="s">
        <v>104</v>
      </c>
      <c r="C14" t="s">
        <v>101</v>
      </c>
      <c r="D14">
        <v>104.594870621225</v>
      </c>
      <c r="F14" t="s">
        <v>114</v>
      </c>
      <c r="G14">
        <v>100.65363630873</v>
      </c>
      <c r="H14">
        <v>105.12351501370399</v>
      </c>
      <c r="I14">
        <v>94.837038603240799</v>
      </c>
      <c r="J14">
        <v>97.992749210821401</v>
      </c>
      <c r="L14">
        <f t="shared" si="1"/>
        <v>99.651734784124045</v>
      </c>
      <c r="M14">
        <f t="shared" si="2"/>
        <v>0.54487239696871281</v>
      </c>
      <c r="N14">
        <f t="shared" si="3"/>
        <v>4</v>
      </c>
      <c r="O14">
        <f t="shared" si="4"/>
        <v>2.1794895878748513</v>
      </c>
      <c r="P14">
        <f t="shared" si="5"/>
        <v>9.989907818589991</v>
      </c>
      <c r="Q14">
        <f t="shared" si="6"/>
        <v>4.9792547193983658</v>
      </c>
      <c r="R14">
        <f t="shared" si="7"/>
        <v>2</v>
      </c>
      <c r="S14">
        <f t="shared" si="8"/>
        <v>2</v>
      </c>
      <c r="T14">
        <f t="shared" si="9"/>
        <v>6.9562374685098502E-2</v>
      </c>
      <c r="U14">
        <f t="shared" si="0"/>
        <v>22.407210424478588</v>
      </c>
      <c r="V14">
        <f t="shared" si="0"/>
        <v>30.834153174910817</v>
      </c>
      <c r="W14">
        <f t="shared" si="0"/>
        <v>5.7462816062680746</v>
      </c>
    </row>
    <row r="15" spans="1:25" x14ac:dyDescent="0.25">
      <c r="A15">
        <v>14</v>
      </c>
      <c r="B15" t="s">
        <v>104</v>
      </c>
      <c r="C15" t="s">
        <v>101</v>
      </c>
      <c r="D15">
        <v>98.530713798513403</v>
      </c>
      <c r="F15" t="s">
        <v>115</v>
      </c>
      <c r="G15">
        <v>99.002807374167901</v>
      </c>
      <c r="H15">
        <v>103.745049689742</v>
      </c>
      <c r="I15">
        <v>103.08617757797801</v>
      </c>
      <c r="J15">
        <v>104.182440367005</v>
      </c>
      <c r="L15">
        <f t="shared" si="1"/>
        <v>102.50411875222323</v>
      </c>
      <c r="M15">
        <f t="shared" si="2"/>
        <v>4.4699652954436635</v>
      </c>
      <c r="N15">
        <f t="shared" si="3"/>
        <v>4</v>
      </c>
      <c r="O15">
        <f t="shared" si="4"/>
        <v>17.879861181774654</v>
      </c>
      <c r="P15">
        <f t="shared" si="5"/>
        <v>11.244431089810815</v>
      </c>
      <c r="Q15">
        <f t="shared" si="6"/>
        <v>0.60089605130262203</v>
      </c>
      <c r="R15">
        <f t="shared" si="7"/>
        <v>2</v>
      </c>
      <c r="S15">
        <f t="shared" si="8"/>
        <v>2</v>
      </c>
      <c r="T15">
        <f t="shared" si="9"/>
        <v>1.9239968471017443</v>
      </c>
      <c r="U15">
        <f t="shared" si="0"/>
        <v>11.257099842472899</v>
      </c>
      <c r="V15">
        <f t="shared" si="0"/>
        <v>7.2699693541567196</v>
      </c>
      <c r="W15">
        <f t="shared" si="0"/>
        <v>14.383442015116819</v>
      </c>
    </row>
    <row r="16" spans="1:25" x14ac:dyDescent="0.25">
      <c r="A16">
        <v>15</v>
      </c>
      <c r="B16" t="s">
        <v>104</v>
      </c>
      <c r="C16" t="s">
        <v>106</v>
      </c>
      <c r="D16">
        <v>96.039491787101397</v>
      </c>
      <c r="F16" t="s">
        <v>116</v>
      </c>
      <c r="G16">
        <v>100.320280613403</v>
      </c>
      <c r="H16">
        <v>100.64591214593</v>
      </c>
      <c r="I16">
        <v>100.13462920147801</v>
      </c>
      <c r="J16">
        <v>93.846833066265603</v>
      </c>
      <c r="L16">
        <f t="shared" si="1"/>
        <v>98.736913756769155</v>
      </c>
      <c r="M16">
        <f t="shared" si="2"/>
        <v>2.7323288354746333</v>
      </c>
      <c r="N16">
        <f t="shared" si="3"/>
        <v>4</v>
      </c>
      <c r="O16">
        <f t="shared" si="4"/>
        <v>10.929315341898533</v>
      </c>
      <c r="P16">
        <f t="shared" si="5"/>
        <v>5.3017947487940698E-2</v>
      </c>
      <c r="Q16">
        <f t="shared" si="6"/>
        <v>19.768190118996017</v>
      </c>
      <c r="R16">
        <f t="shared" si="7"/>
        <v>2</v>
      </c>
      <c r="S16">
        <f t="shared" si="8"/>
        <v>2</v>
      </c>
      <c r="T16">
        <f t="shared" si="9"/>
        <v>4.8453982624960977E-3</v>
      </c>
      <c r="U16">
        <f t="shared" si="0"/>
        <v>6.5547590928579133E-2</v>
      </c>
      <c r="V16">
        <f t="shared" si="0"/>
        <v>6.5157824289150332E-2</v>
      </c>
      <c r="W16">
        <f t="shared" si="0"/>
        <v>42.811587604936946</v>
      </c>
    </row>
    <row r="17" spans="1:23" x14ac:dyDescent="0.25">
      <c r="A17">
        <v>16</v>
      </c>
      <c r="B17" t="s">
        <v>104</v>
      </c>
      <c r="C17" t="s">
        <v>106</v>
      </c>
      <c r="D17">
        <v>93.734562913754502</v>
      </c>
      <c r="F17" t="s">
        <v>117</v>
      </c>
      <c r="G17">
        <v>99.543655541489301</v>
      </c>
      <c r="H17">
        <v>95.551374834117695</v>
      </c>
      <c r="I17">
        <v>98.567078983067105</v>
      </c>
      <c r="J17">
        <v>94.781433284768497</v>
      </c>
      <c r="L17">
        <f t="shared" si="1"/>
        <v>97.110885660860646</v>
      </c>
      <c r="M17">
        <f t="shared" si="2"/>
        <v>10.751866232168123</v>
      </c>
      <c r="N17">
        <f t="shared" si="3"/>
        <v>4</v>
      </c>
      <c r="O17">
        <f t="shared" si="4"/>
        <v>43.007464928672491</v>
      </c>
      <c r="P17">
        <f t="shared" si="5"/>
        <v>7.9691526232257646</v>
      </c>
      <c r="Q17">
        <f t="shared" si="6"/>
        <v>7.1655566765233809</v>
      </c>
      <c r="R17">
        <f t="shared" si="7"/>
        <v>2</v>
      </c>
      <c r="S17">
        <f t="shared" si="8"/>
        <v>2</v>
      </c>
      <c r="T17">
        <f t="shared" si="9"/>
        <v>0.71611192675089841</v>
      </c>
      <c r="U17">
        <f t="shared" si="0"/>
        <v>23.411224253230792</v>
      </c>
      <c r="V17">
        <f t="shared" si="0"/>
        <v>3.3226382112589548</v>
      </c>
      <c r="W17">
        <f t="shared" si="0"/>
        <v>31.454781212374243</v>
      </c>
    </row>
    <row r="18" spans="1:23" x14ac:dyDescent="0.25">
      <c r="A18">
        <v>17</v>
      </c>
      <c r="B18" t="s">
        <v>105</v>
      </c>
      <c r="C18" t="s">
        <v>101</v>
      </c>
      <c r="D18">
        <v>103.816993585125</v>
      </c>
      <c r="F18" t="s">
        <v>118</v>
      </c>
      <c r="G18">
        <v>102.014383040507</v>
      </c>
      <c r="H18">
        <v>100.126420974056</v>
      </c>
      <c r="I18">
        <v>102.44322099826</v>
      </c>
      <c r="J18">
        <v>97.482457456906701</v>
      </c>
      <c r="L18">
        <f t="shared" si="1"/>
        <v>100.51662061743244</v>
      </c>
      <c r="M18">
        <f t="shared" si="2"/>
        <v>1.6060773996968907E-2</v>
      </c>
      <c r="N18">
        <f t="shared" si="3"/>
        <v>4</v>
      </c>
      <c r="O18">
        <f t="shared" si="4"/>
        <v>6.4243095987875629E-2</v>
      </c>
      <c r="P18">
        <f t="shared" si="5"/>
        <v>1.7822003821789569</v>
      </c>
      <c r="Q18">
        <f t="shared" si="6"/>
        <v>12.304587456610076</v>
      </c>
      <c r="R18">
        <f t="shared" si="7"/>
        <v>2</v>
      </c>
      <c r="S18">
        <f t="shared" si="8"/>
        <v>2</v>
      </c>
      <c r="T18">
        <f t="shared" si="9"/>
        <v>2.6389792358623114</v>
      </c>
      <c r="U18">
        <f t="shared" ref="U18:U21" si="10">POWER(H18-$Q$26,2)</f>
        <v>6.9415668588589108E-2</v>
      </c>
      <c r="V18">
        <f t="shared" ref="V18:V21" si="11">POWER(I18-$Q$26,2)</f>
        <v>4.2161702072568135</v>
      </c>
      <c r="W18">
        <f t="shared" ref="W18:W21" si="12">POWER(J18-$Q$26,2)</f>
        <v>8.4531611340418742</v>
      </c>
    </row>
    <row r="19" spans="1:23" x14ac:dyDescent="0.25">
      <c r="A19">
        <v>18</v>
      </c>
      <c r="B19" t="s">
        <v>105</v>
      </c>
      <c r="C19" t="s">
        <v>101</v>
      </c>
      <c r="D19">
        <v>100.908936633932</v>
      </c>
      <c r="F19" t="s">
        <v>119</v>
      </c>
      <c r="G19">
        <v>103.330116828904</v>
      </c>
      <c r="H19">
        <v>100.166155712055</v>
      </c>
      <c r="I19">
        <v>102.301694861897</v>
      </c>
      <c r="J19">
        <v>96.319150123228596</v>
      </c>
      <c r="L19">
        <f t="shared" si="1"/>
        <v>100.52927938152115</v>
      </c>
      <c r="M19">
        <f t="shared" si="2"/>
        <v>1.9429536729145293E-2</v>
      </c>
      <c r="N19">
        <f t="shared" si="3"/>
        <v>4</v>
      </c>
      <c r="O19">
        <f t="shared" si="4"/>
        <v>7.7718146916581174E-2</v>
      </c>
      <c r="P19">
        <f t="shared" si="5"/>
        <v>5.0053249744661699</v>
      </c>
      <c r="Q19">
        <f t="shared" si="6"/>
        <v>17.895420775084531</v>
      </c>
      <c r="R19">
        <f t="shared" si="7"/>
        <v>2</v>
      </c>
      <c r="S19">
        <f t="shared" si="8"/>
        <v>2</v>
      </c>
      <c r="T19">
        <f t="shared" si="9"/>
        <v>8.6449366962468659</v>
      </c>
      <c r="U19">
        <f t="shared" si="10"/>
        <v>5.0056811626279001E-2</v>
      </c>
      <c r="V19">
        <f t="shared" si="11"/>
        <v>3.6549997096655007</v>
      </c>
      <c r="W19">
        <f t="shared" si="12"/>
        <v>16.57091914197354</v>
      </c>
    </row>
    <row r="20" spans="1:23" x14ac:dyDescent="0.25">
      <c r="A20">
        <v>19</v>
      </c>
      <c r="B20" t="s">
        <v>105</v>
      </c>
      <c r="C20" t="s">
        <v>106</v>
      </c>
      <c r="D20">
        <v>95.247126548386404</v>
      </c>
      <c r="F20" t="s">
        <v>120</v>
      </c>
      <c r="G20">
        <v>96.5498408573701</v>
      </c>
      <c r="H20">
        <v>99.872600728842002</v>
      </c>
      <c r="I20">
        <v>102.830345405888</v>
      </c>
      <c r="J20">
        <v>100.012136574309</v>
      </c>
      <c r="L20">
        <f t="shared" si="1"/>
        <v>99.816230891602274</v>
      </c>
      <c r="M20">
        <f t="shared" si="2"/>
        <v>0.32908420862457211</v>
      </c>
      <c r="N20">
        <f t="shared" si="3"/>
        <v>4</v>
      </c>
      <c r="O20">
        <f t="shared" si="4"/>
        <v>1.3163368344982884</v>
      </c>
      <c r="P20">
        <f t="shared" si="5"/>
        <v>5.5203665817319862</v>
      </c>
      <c r="Q20">
        <f t="shared" si="6"/>
        <v>3.9711505091949353</v>
      </c>
      <c r="R20">
        <f t="shared" si="7"/>
        <v>2</v>
      </c>
      <c r="S20">
        <f t="shared" si="8"/>
        <v>2</v>
      </c>
      <c r="T20">
        <f t="shared" si="9"/>
        <v>14.74597364226512</v>
      </c>
      <c r="U20">
        <f t="shared" si="10"/>
        <v>0.26758768145506245</v>
      </c>
      <c r="V20">
        <f t="shared" si="11"/>
        <v>5.9558249875912095</v>
      </c>
      <c r="W20">
        <f t="shared" si="12"/>
        <v>0.14269727921323691</v>
      </c>
    </row>
    <row r="21" spans="1:23" x14ac:dyDescent="0.25">
      <c r="A21">
        <v>20</v>
      </c>
      <c r="B21" t="s">
        <v>105</v>
      </c>
      <c r="C21" t="s">
        <v>106</v>
      </c>
      <c r="D21">
        <v>103.27943303077799</v>
      </c>
      <c r="F21" t="s">
        <v>121</v>
      </c>
      <c r="G21">
        <v>106.057124750673</v>
      </c>
      <c r="H21">
        <v>104.190012230812</v>
      </c>
      <c r="I21">
        <v>100.070114638088</v>
      </c>
      <c r="J21">
        <v>102.851092936852</v>
      </c>
      <c r="L21">
        <f t="shared" si="1"/>
        <v>103.29208613910625</v>
      </c>
      <c r="M21">
        <f t="shared" si="2"/>
        <v>8.422745283291329</v>
      </c>
      <c r="N21">
        <f t="shared" si="3"/>
        <v>4</v>
      </c>
      <c r="O21">
        <f t="shared" si="4"/>
        <v>33.690981133165316</v>
      </c>
      <c r="P21">
        <f t="shared" si="5"/>
        <v>1.7430545809108384</v>
      </c>
      <c r="Q21">
        <f t="shared" si="6"/>
        <v>3.8669201490981493</v>
      </c>
      <c r="R21">
        <f t="shared" si="7"/>
        <v>2</v>
      </c>
      <c r="S21">
        <f t="shared" si="8"/>
        <v>2</v>
      </c>
      <c r="T21">
        <f t="shared" si="9"/>
        <v>32.117555291277959</v>
      </c>
      <c r="U21">
        <f t="shared" si="10"/>
        <v>14.440932705403322</v>
      </c>
      <c r="V21">
        <f t="shared" si="11"/>
        <v>0.10225596768210385</v>
      </c>
      <c r="W21">
        <f t="shared" si="12"/>
        <v>6.0575223162311991</v>
      </c>
    </row>
    <row r="22" spans="1:23" x14ac:dyDescent="0.25">
      <c r="A22">
        <v>21</v>
      </c>
      <c r="B22" t="s">
        <v>107</v>
      </c>
      <c r="C22" t="s">
        <v>101</v>
      </c>
      <c r="D22">
        <v>98.578804752151896</v>
      </c>
    </row>
    <row r="23" spans="1:23" x14ac:dyDescent="0.25">
      <c r="A23">
        <v>22</v>
      </c>
      <c r="B23" t="s">
        <v>107</v>
      </c>
      <c r="C23" t="s">
        <v>101</v>
      </c>
      <c r="D23">
        <v>100.657733243134</v>
      </c>
      <c r="F23" t="s">
        <v>217</v>
      </c>
      <c r="G23">
        <f>AVERAGE(G2:H21)</f>
        <v>101.31291352947446</v>
      </c>
      <c r="I23">
        <f>AVERAGE(I2:J21)</f>
        <v>99.466865487322622</v>
      </c>
      <c r="N23" t="s">
        <v>123</v>
      </c>
      <c r="O23">
        <f>SUM(O2:O21)</f>
        <v>248.53879533730412</v>
      </c>
      <c r="P23" t="s">
        <v>125</v>
      </c>
      <c r="Q23">
        <f>SUM(P2:Q21)</f>
        <v>400.59850549364035</v>
      </c>
      <c r="S23" t="s">
        <v>122</v>
      </c>
      <c r="T23">
        <f>SUM(T2:W21)</f>
        <v>1019.5938380308799</v>
      </c>
    </row>
    <row r="24" spans="1:23" x14ac:dyDescent="0.25">
      <c r="A24">
        <v>23</v>
      </c>
      <c r="B24" t="s">
        <v>107</v>
      </c>
      <c r="C24" t="s">
        <v>106</v>
      </c>
      <c r="D24">
        <v>104.575040466348</v>
      </c>
      <c r="F24" t="s">
        <v>215</v>
      </c>
      <c r="G24">
        <f>POWER(G23-$Q$26,2)</f>
        <v>0.85197334348320874</v>
      </c>
      <c r="I24">
        <f>POWER(I23-$Q$26,2)</f>
        <v>0.85197334348310383</v>
      </c>
      <c r="N24" t="s">
        <v>222</v>
      </c>
      <c r="O24">
        <f>COUNT(L2:L21)-1</f>
        <v>19</v>
      </c>
      <c r="P24" t="s">
        <v>212</v>
      </c>
      <c r="Q24">
        <f>COUNT(P2:Q21)</f>
        <v>40</v>
      </c>
      <c r="S24" t="s">
        <v>213</v>
      </c>
      <c r="T24">
        <f>COUNT(T2:W21)-1</f>
        <v>79</v>
      </c>
    </row>
    <row r="25" spans="1:23" x14ac:dyDescent="0.25">
      <c r="A25">
        <v>24</v>
      </c>
      <c r="B25" t="s">
        <v>107</v>
      </c>
      <c r="C25" t="s">
        <v>106</v>
      </c>
      <c r="D25">
        <v>102.107644530922</v>
      </c>
      <c r="G25">
        <f>COUNT(G2:H21)</f>
        <v>40</v>
      </c>
      <c r="I25">
        <f>COUNT(I2:J21)</f>
        <v>40</v>
      </c>
      <c r="J25" t="s">
        <v>124</v>
      </c>
    </row>
    <row r="26" spans="1:23" x14ac:dyDescent="0.25">
      <c r="A26">
        <v>25</v>
      </c>
      <c r="B26" t="s">
        <v>108</v>
      </c>
      <c r="C26" t="s">
        <v>101</v>
      </c>
      <c r="D26">
        <v>98.114225588836803</v>
      </c>
      <c r="G26">
        <f>G24*G25</f>
        <v>34.078933739328349</v>
      </c>
      <c r="I26">
        <f>I24*I25</f>
        <v>34.078933739324157</v>
      </c>
      <c r="J26">
        <f>SUM(G26,I26)</f>
        <v>68.157867478652506</v>
      </c>
      <c r="P26" t="s">
        <v>95</v>
      </c>
      <c r="Q26">
        <f>AVERAGE(G2:J21)</f>
        <v>100.38988950839851</v>
      </c>
    </row>
    <row r="27" spans="1:23" x14ac:dyDescent="0.25">
      <c r="A27">
        <v>26</v>
      </c>
      <c r="B27" t="s">
        <v>108</v>
      </c>
      <c r="C27" t="s">
        <v>101</v>
      </c>
      <c r="D27">
        <v>104.77635112279</v>
      </c>
      <c r="J27" t="s">
        <v>221</v>
      </c>
      <c r="N27" t="s">
        <v>219</v>
      </c>
    </row>
    <row r="28" spans="1:23" x14ac:dyDescent="0.25">
      <c r="A28">
        <v>27</v>
      </c>
      <c r="B28" t="s">
        <v>108</v>
      </c>
      <c r="C28" t="s">
        <v>106</v>
      </c>
      <c r="D28">
        <v>102.46555249469699</v>
      </c>
      <c r="F28" t="s">
        <v>139</v>
      </c>
      <c r="G28">
        <f>COUNT(D2:D81)</f>
        <v>80</v>
      </c>
      <c r="J28">
        <f>COUNT(G26:I26)</f>
        <v>2</v>
      </c>
      <c r="L28" t="s">
        <v>126</v>
      </c>
      <c r="M28">
        <f>T23-O23-J26-Q23</f>
        <v>302.29866972128286</v>
      </c>
    </row>
    <row r="29" spans="1:23" x14ac:dyDescent="0.25">
      <c r="A29">
        <v>28</v>
      </c>
      <c r="B29" t="s">
        <v>108</v>
      </c>
      <c r="C29" t="s">
        <v>106</v>
      </c>
      <c r="D29">
        <v>99.938488746252204</v>
      </c>
      <c r="F29" t="s">
        <v>228</v>
      </c>
      <c r="G29">
        <v>20</v>
      </c>
      <c r="L29" t="s">
        <v>223</v>
      </c>
      <c r="M29">
        <f>T23-O23-Q23</f>
        <v>370.45653719993538</v>
      </c>
    </row>
    <row r="30" spans="1:23" x14ac:dyDescent="0.25">
      <c r="A30">
        <v>29</v>
      </c>
      <c r="B30" t="s">
        <v>109</v>
      </c>
      <c r="C30" t="s">
        <v>101</v>
      </c>
      <c r="D30">
        <v>103.061864182264</v>
      </c>
      <c r="F30" t="s">
        <v>227</v>
      </c>
      <c r="G30">
        <v>2</v>
      </c>
    </row>
    <row r="31" spans="1:23" x14ac:dyDescent="0.25">
      <c r="A31">
        <v>30</v>
      </c>
      <c r="B31" t="s">
        <v>109</v>
      </c>
      <c r="C31" t="s">
        <v>101</v>
      </c>
      <c r="D31">
        <v>102.96684523714001</v>
      </c>
      <c r="F31" t="s">
        <v>226</v>
      </c>
      <c r="G31">
        <v>2</v>
      </c>
    </row>
    <row r="32" spans="1:23" x14ac:dyDescent="0.25">
      <c r="A32">
        <v>31</v>
      </c>
      <c r="B32" t="s">
        <v>109</v>
      </c>
      <c r="C32" t="s">
        <v>106</v>
      </c>
      <c r="D32">
        <v>90.750612406640599</v>
      </c>
      <c r="G32" t="s">
        <v>219</v>
      </c>
      <c r="H32" t="s">
        <v>185</v>
      </c>
      <c r="I32" t="s">
        <v>187</v>
      </c>
      <c r="J32" t="s">
        <v>209</v>
      </c>
      <c r="K32" t="s">
        <v>181</v>
      </c>
      <c r="L32" t="s">
        <v>180</v>
      </c>
      <c r="M32" t="s">
        <v>229</v>
      </c>
      <c r="N32" t="s">
        <v>230</v>
      </c>
      <c r="O32" t="s">
        <v>231</v>
      </c>
      <c r="P32" t="s">
        <v>218</v>
      </c>
      <c r="Q32" t="s">
        <v>234</v>
      </c>
    </row>
    <row r="33" spans="1:17" x14ac:dyDescent="0.25">
      <c r="A33">
        <v>32</v>
      </c>
      <c r="B33" t="s">
        <v>109</v>
      </c>
      <c r="C33" t="s">
        <v>106</v>
      </c>
      <c r="D33">
        <v>93.400877471520005</v>
      </c>
      <c r="F33" t="s">
        <v>167</v>
      </c>
      <c r="G33">
        <v>72.003827000000001</v>
      </c>
      <c r="J33">
        <f>SUM(J34:J36)</f>
        <v>14.2688947375</v>
      </c>
      <c r="K33">
        <f>SQRT(J33)</f>
        <v>3.7774190577032885</v>
      </c>
      <c r="L33" s="71">
        <f>K33/$Q$26</f>
        <v>3.7627484960896122E-2</v>
      </c>
    </row>
    <row r="34" spans="1:17" x14ac:dyDescent="0.25">
      <c r="A34">
        <v>33</v>
      </c>
      <c r="B34" t="s">
        <v>110</v>
      </c>
      <c r="C34" t="s">
        <v>101</v>
      </c>
      <c r="D34">
        <v>100.50394565867001</v>
      </c>
      <c r="F34" t="s">
        <v>98</v>
      </c>
      <c r="G34">
        <f>G29-1</f>
        <v>19</v>
      </c>
      <c r="H34">
        <v>248.53879499999999</v>
      </c>
      <c r="I34">
        <f>H34/G34</f>
        <v>13.080989210526315</v>
      </c>
      <c r="J34">
        <f>MAX(0,(I34-I35)/(G30*G31))</f>
        <v>0</v>
      </c>
      <c r="K34">
        <f t="shared" ref="K34:K36" si="13">SQRT(J34)</f>
        <v>0</v>
      </c>
      <c r="L34" s="71">
        <f t="shared" ref="L34:L36" si="14">K34/$Q$26</f>
        <v>0</v>
      </c>
      <c r="M34">
        <f>1/(1+G34)</f>
        <v>0.05</v>
      </c>
      <c r="N34">
        <f>M34*J34</f>
        <v>0</v>
      </c>
      <c r="O34">
        <f>POWER(M34*J34,2)/G34</f>
        <v>0</v>
      </c>
      <c r="P34">
        <v>20</v>
      </c>
      <c r="Q34">
        <f>(P34-1)/($G$28-3)</f>
        <v>0.24675324675324675</v>
      </c>
    </row>
    <row r="35" spans="1:17" x14ac:dyDescent="0.25">
      <c r="A35">
        <v>34</v>
      </c>
      <c r="B35" t="s">
        <v>110</v>
      </c>
      <c r="C35" t="s">
        <v>101</v>
      </c>
      <c r="D35">
        <v>99.862939218668402</v>
      </c>
      <c r="F35" t="s">
        <v>225</v>
      </c>
      <c r="G35">
        <f>(G30-1)*G29</f>
        <v>20</v>
      </c>
      <c r="H35">
        <v>370.45653700000003</v>
      </c>
      <c r="I35">
        <f t="shared" ref="I35:I36" si="15">H35/G35</f>
        <v>18.522826850000001</v>
      </c>
      <c r="J35">
        <f>(I35-I36)/G31</f>
        <v>4.2539321125000011</v>
      </c>
      <c r="K35">
        <f t="shared" si="13"/>
        <v>2.0625062696874403</v>
      </c>
      <c r="L35" s="71">
        <f t="shared" si="14"/>
        <v>2.0544960053122611E-2</v>
      </c>
      <c r="M35">
        <f t="shared" ref="M35:M36" si="16">1/(1+G35)</f>
        <v>4.7619047619047616E-2</v>
      </c>
      <c r="N35">
        <f t="shared" ref="N35:N36" si="17">M35*J35</f>
        <v>0.20256819583333338</v>
      </c>
      <c r="O35">
        <f t="shared" ref="O35:O36" si="18">POWER(M35*J35,2)/G35</f>
        <v>2.051693698158585E-3</v>
      </c>
      <c r="P35">
        <v>2</v>
      </c>
      <c r="Q35">
        <f>(P35-1)/($G$28-3)</f>
        <v>1.2987012987012988E-2</v>
      </c>
    </row>
    <row r="36" spans="1:17" x14ac:dyDescent="0.25">
      <c r="A36">
        <v>35</v>
      </c>
      <c r="B36" t="s">
        <v>110</v>
      </c>
      <c r="C36" t="s">
        <v>106</v>
      </c>
      <c r="D36">
        <v>98.9347816938037</v>
      </c>
      <c r="F36" t="s">
        <v>189</v>
      </c>
      <c r="G36">
        <f>G28-(G29*G30)</f>
        <v>40</v>
      </c>
      <c r="H36">
        <v>400.59850499999999</v>
      </c>
      <c r="I36">
        <f t="shared" si="15"/>
        <v>10.014962624999999</v>
      </c>
      <c r="J36">
        <f>I36</f>
        <v>10.014962624999999</v>
      </c>
      <c r="K36">
        <f t="shared" si="13"/>
        <v>3.1646425746045947</v>
      </c>
      <c r="L36" s="71">
        <f t="shared" si="14"/>
        <v>3.1523518853358676E-2</v>
      </c>
      <c r="M36">
        <f t="shared" si="16"/>
        <v>2.4390243902439025E-2</v>
      </c>
      <c r="N36">
        <f t="shared" si="17"/>
        <v>0.24426738109756096</v>
      </c>
      <c r="O36">
        <f t="shared" si="18"/>
        <v>1.4916638367065273E-3</v>
      </c>
      <c r="P36">
        <v>2</v>
      </c>
      <c r="Q36">
        <f>(P36-1)/($G$28-3)</f>
        <v>1.2987012987012988E-2</v>
      </c>
    </row>
    <row r="37" spans="1:17" x14ac:dyDescent="0.25">
      <c r="A37">
        <v>36</v>
      </c>
      <c r="B37" t="s">
        <v>110</v>
      </c>
      <c r="C37" t="s">
        <v>106</v>
      </c>
      <c r="D37">
        <v>102.18390876234</v>
      </c>
    </row>
    <row r="38" spans="1:17" x14ac:dyDescent="0.25">
      <c r="A38">
        <v>37</v>
      </c>
      <c r="B38" t="s">
        <v>111</v>
      </c>
      <c r="C38" t="s">
        <v>101</v>
      </c>
      <c r="D38">
        <v>95.955394569818196</v>
      </c>
      <c r="M38" t="s">
        <v>230</v>
      </c>
      <c r="N38">
        <f>POWER(SUM(N34:N36),2)</f>
        <v>0.19966203281116524</v>
      </c>
    </row>
    <row r="39" spans="1:17" x14ac:dyDescent="0.25">
      <c r="A39">
        <v>38</v>
      </c>
      <c r="B39" t="s">
        <v>111</v>
      </c>
      <c r="C39" t="s">
        <v>101</v>
      </c>
      <c r="D39">
        <v>108.471792595466</v>
      </c>
      <c r="M39" t="s">
        <v>231</v>
      </c>
      <c r="N39">
        <f>SUM(O34:O36)</f>
        <v>3.5433575348651123E-3</v>
      </c>
    </row>
    <row r="40" spans="1:17" x14ac:dyDescent="0.25">
      <c r="A40">
        <v>39</v>
      </c>
      <c r="B40" t="s">
        <v>111</v>
      </c>
      <c r="C40" t="s">
        <v>106</v>
      </c>
      <c r="D40">
        <v>99.493795247262895</v>
      </c>
      <c r="M40" t="s">
        <v>232</v>
      </c>
      <c r="N40">
        <f>N38/N39</f>
        <v>56.34826032839667</v>
      </c>
    </row>
    <row r="41" spans="1:17" x14ac:dyDescent="0.25">
      <c r="A41">
        <v>40</v>
      </c>
      <c r="B41" t="s">
        <v>111</v>
      </c>
      <c r="C41" t="s">
        <v>106</v>
      </c>
      <c r="D41">
        <v>95.755952301741203</v>
      </c>
    </row>
    <row r="42" spans="1:17" x14ac:dyDescent="0.25">
      <c r="A42">
        <v>41</v>
      </c>
      <c r="B42" t="s">
        <v>112</v>
      </c>
      <c r="C42" t="s">
        <v>101</v>
      </c>
      <c r="D42">
        <v>106.64351196067599</v>
      </c>
    </row>
    <row r="43" spans="1:17" x14ac:dyDescent="0.25">
      <c r="A43">
        <v>42</v>
      </c>
      <c r="B43" t="s">
        <v>112</v>
      </c>
      <c r="C43" t="s">
        <v>101</v>
      </c>
      <c r="D43">
        <v>98.852209551491597</v>
      </c>
    </row>
    <row r="44" spans="1:17" x14ac:dyDescent="0.25">
      <c r="A44">
        <v>43</v>
      </c>
      <c r="B44" t="s">
        <v>112</v>
      </c>
      <c r="C44" t="s">
        <v>106</v>
      </c>
      <c r="D44">
        <v>99.493433384858406</v>
      </c>
    </row>
    <row r="45" spans="1:17" x14ac:dyDescent="0.25">
      <c r="A45">
        <v>44</v>
      </c>
      <c r="B45" t="s">
        <v>112</v>
      </c>
      <c r="C45" t="s">
        <v>106</v>
      </c>
      <c r="D45">
        <v>98.634645392121001</v>
      </c>
    </row>
    <row r="46" spans="1:17" x14ac:dyDescent="0.25">
      <c r="A46">
        <v>45</v>
      </c>
      <c r="B46" t="s">
        <v>113</v>
      </c>
      <c r="C46" t="s">
        <v>101</v>
      </c>
      <c r="D46">
        <v>99.262354950237295</v>
      </c>
    </row>
    <row r="47" spans="1:17" x14ac:dyDescent="0.25">
      <c r="A47">
        <v>46</v>
      </c>
      <c r="B47" t="s">
        <v>113</v>
      </c>
      <c r="C47" t="s">
        <v>101</v>
      </c>
      <c r="D47">
        <v>99.053648233066596</v>
      </c>
    </row>
    <row r="48" spans="1:17" x14ac:dyDescent="0.25">
      <c r="A48">
        <v>47</v>
      </c>
      <c r="B48" t="s">
        <v>113</v>
      </c>
      <c r="C48" t="s">
        <v>106</v>
      </c>
      <c r="D48">
        <v>106.095248879312</v>
      </c>
    </row>
    <row r="49" spans="1:4" x14ac:dyDescent="0.25">
      <c r="A49">
        <v>48</v>
      </c>
      <c r="B49" t="s">
        <v>113</v>
      </c>
      <c r="C49" t="s">
        <v>106</v>
      </c>
      <c r="D49">
        <v>105.28232972817899</v>
      </c>
    </row>
    <row r="50" spans="1:4" x14ac:dyDescent="0.25">
      <c r="A50">
        <v>49</v>
      </c>
      <c r="B50" t="s">
        <v>114</v>
      </c>
      <c r="C50" t="s">
        <v>101</v>
      </c>
      <c r="D50">
        <v>100.65363630873</v>
      </c>
    </row>
    <row r="51" spans="1:4" x14ac:dyDescent="0.25">
      <c r="A51">
        <v>50</v>
      </c>
      <c r="B51" t="s">
        <v>114</v>
      </c>
      <c r="C51" t="s">
        <v>101</v>
      </c>
      <c r="D51">
        <v>105.12351501370399</v>
      </c>
    </row>
    <row r="52" spans="1:4" x14ac:dyDescent="0.25">
      <c r="A52">
        <v>51</v>
      </c>
      <c r="B52" t="s">
        <v>114</v>
      </c>
      <c r="C52" t="s">
        <v>106</v>
      </c>
      <c r="D52">
        <v>94.837038603240799</v>
      </c>
    </row>
    <row r="53" spans="1:4" x14ac:dyDescent="0.25">
      <c r="A53">
        <v>52</v>
      </c>
      <c r="B53" t="s">
        <v>114</v>
      </c>
      <c r="C53" t="s">
        <v>106</v>
      </c>
      <c r="D53">
        <v>97.992749210821401</v>
      </c>
    </row>
    <row r="54" spans="1:4" x14ac:dyDescent="0.25">
      <c r="A54">
        <v>53</v>
      </c>
      <c r="B54" t="s">
        <v>115</v>
      </c>
      <c r="C54" t="s">
        <v>101</v>
      </c>
      <c r="D54">
        <v>99.002807374167901</v>
      </c>
    </row>
    <row r="55" spans="1:4" x14ac:dyDescent="0.25">
      <c r="A55">
        <v>54</v>
      </c>
      <c r="B55" t="s">
        <v>115</v>
      </c>
      <c r="C55" t="s">
        <v>101</v>
      </c>
      <c r="D55">
        <v>103.745049689742</v>
      </c>
    </row>
    <row r="56" spans="1:4" x14ac:dyDescent="0.25">
      <c r="A56">
        <v>55</v>
      </c>
      <c r="B56" t="s">
        <v>115</v>
      </c>
      <c r="C56" t="s">
        <v>106</v>
      </c>
      <c r="D56">
        <v>103.08617757797801</v>
      </c>
    </row>
    <row r="57" spans="1:4" x14ac:dyDescent="0.25">
      <c r="A57">
        <v>56</v>
      </c>
      <c r="B57" t="s">
        <v>115</v>
      </c>
      <c r="C57" t="s">
        <v>106</v>
      </c>
      <c r="D57">
        <v>104.182440367005</v>
      </c>
    </row>
    <row r="58" spans="1:4" x14ac:dyDescent="0.25">
      <c r="A58">
        <v>57</v>
      </c>
      <c r="B58" t="s">
        <v>116</v>
      </c>
      <c r="C58" t="s">
        <v>101</v>
      </c>
      <c r="D58">
        <v>100.320280613403</v>
      </c>
    </row>
    <row r="59" spans="1:4" x14ac:dyDescent="0.25">
      <c r="A59">
        <v>58</v>
      </c>
      <c r="B59" t="s">
        <v>116</v>
      </c>
      <c r="C59" t="s">
        <v>101</v>
      </c>
      <c r="D59">
        <v>100.64591214593</v>
      </c>
    </row>
    <row r="60" spans="1:4" x14ac:dyDescent="0.25">
      <c r="A60">
        <v>59</v>
      </c>
      <c r="B60" t="s">
        <v>116</v>
      </c>
      <c r="C60" t="s">
        <v>106</v>
      </c>
      <c r="D60">
        <v>100.13462920147801</v>
      </c>
    </row>
    <row r="61" spans="1:4" x14ac:dyDescent="0.25">
      <c r="A61">
        <v>60</v>
      </c>
      <c r="B61" t="s">
        <v>116</v>
      </c>
      <c r="C61" t="s">
        <v>106</v>
      </c>
      <c r="D61">
        <v>93.846833066265603</v>
      </c>
    </row>
    <row r="62" spans="1:4" x14ac:dyDescent="0.25">
      <c r="A62">
        <v>61</v>
      </c>
      <c r="B62" t="s">
        <v>117</v>
      </c>
      <c r="C62" t="s">
        <v>101</v>
      </c>
      <c r="D62">
        <v>99.543655541489301</v>
      </c>
    </row>
    <row r="63" spans="1:4" x14ac:dyDescent="0.25">
      <c r="A63">
        <v>62</v>
      </c>
      <c r="B63" t="s">
        <v>117</v>
      </c>
      <c r="C63" t="s">
        <v>101</v>
      </c>
      <c r="D63">
        <v>95.551374834117695</v>
      </c>
    </row>
    <row r="64" spans="1:4" x14ac:dyDescent="0.25">
      <c r="A64">
        <v>63</v>
      </c>
      <c r="B64" t="s">
        <v>117</v>
      </c>
      <c r="C64" t="s">
        <v>106</v>
      </c>
      <c r="D64">
        <v>98.567078983067105</v>
      </c>
    </row>
    <row r="65" spans="1:4" x14ac:dyDescent="0.25">
      <c r="A65">
        <v>64</v>
      </c>
      <c r="B65" t="s">
        <v>117</v>
      </c>
      <c r="C65" t="s">
        <v>106</v>
      </c>
      <c r="D65">
        <v>94.781433284768497</v>
      </c>
    </row>
    <row r="66" spans="1:4" x14ac:dyDescent="0.25">
      <c r="A66">
        <v>65</v>
      </c>
      <c r="B66" t="s">
        <v>118</v>
      </c>
      <c r="C66" t="s">
        <v>101</v>
      </c>
      <c r="D66">
        <v>102.014383040507</v>
      </c>
    </row>
    <row r="67" spans="1:4" x14ac:dyDescent="0.25">
      <c r="A67">
        <v>66</v>
      </c>
      <c r="B67" t="s">
        <v>118</v>
      </c>
      <c r="C67" t="s">
        <v>101</v>
      </c>
      <c r="D67">
        <v>100.126420974056</v>
      </c>
    </row>
    <row r="68" spans="1:4" x14ac:dyDescent="0.25">
      <c r="A68">
        <v>67</v>
      </c>
      <c r="B68" t="s">
        <v>118</v>
      </c>
      <c r="C68" t="s">
        <v>106</v>
      </c>
      <c r="D68">
        <v>102.44322099826</v>
      </c>
    </row>
    <row r="69" spans="1:4" x14ac:dyDescent="0.25">
      <c r="A69">
        <v>68</v>
      </c>
      <c r="B69" t="s">
        <v>118</v>
      </c>
      <c r="C69" t="s">
        <v>106</v>
      </c>
      <c r="D69">
        <v>97.482457456906701</v>
      </c>
    </row>
    <row r="70" spans="1:4" x14ac:dyDescent="0.25">
      <c r="A70">
        <v>69</v>
      </c>
      <c r="B70" t="s">
        <v>119</v>
      </c>
      <c r="C70" t="s">
        <v>101</v>
      </c>
      <c r="D70">
        <v>103.330116828904</v>
      </c>
    </row>
    <row r="71" spans="1:4" x14ac:dyDescent="0.25">
      <c r="A71">
        <v>70</v>
      </c>
      <c r="B71" t="s">
        <v>119</v>
      </c>
      <c r="C71" t="s">
        <v>101</v>
      </c>
      <c r="D71">
        <v>100.166155712055</v>
      </c>
    </row>
    <row r="72" spans="1:4" x14ac:dyDescent="0.25">
      <c r="A72">
        <v>71</v>
      </c>
      <c r="B72" t="s">
        <v>119</v>
      </c>
      <c r="C72" t="s">
        <v>106</v>
      </c>
      <c r="D72">
        <v>102.301694861897</v>
      </c>
    </row>
    <row r="73" spans="1:4" x14ac:dyDescent="0.25">
      <c r="A73">
        <v>72</v>
      </c>
      <c r="B73" t="s">
        <v>119</v>
      </c>
      <c r="C73" t="s">
        <v>106</v>
      </c>
      <c r="D73">
        <v>96.319150123228596</v>
      </c>
    </row>
    <row r="74" spans="1:4" x14ac:dyDescent="0.25">
      <c r="A74">
        <v>73</v>
      </c>
      <c r="B74" t="s">
        <v>120</v>
      </c>
      <c r="C74" t="s">
        <v>101</v>
      </c>
      <c r="D74">
        <v>96.5498408573701</v>
      </c>
    </row>
    <row r="75" spans="1:4" x14ac:dyDescent="0.25">
      <c r="A75">
        <v>74</v>
      </c>
      <c r="B75" t="s">
        <v>120</v>
      </c>
      <c r="C75" t="s">
        <v>101</v>
      </c>
      <c r="D75">
        <v>99.872600728842002</v>
      </c>
    </row>
    <row r="76" spans="1:4" x14ac:dyDescent="0.25">
      <c r="A76">
        <v>75</v>
      </c>
      <c r="B76" t="s">
        <v>120</v>
      </c>
      <c r="C76" t="s">
        <v>106</v>
      </c>
      <c r="D76">
        <v>102.830345405888</v>
      </c>
    </row>
    <row r="77" spans="1:4" x14ac:dyDescent="0.25">
      <c r="A77">
        <v>76</v>
      </c>
      <c r="B77" t="s">
        <v>120</v>
      </c>
      <c r="C77" t="s">
        <v>106</v>
      </c>
      <c r="D77">
        <v>100.012136574309</v>
      </c>
    </row>
    <row r="78" spans="1:4" x14ac:dyDescent="0.25">
      <c r="A78">
        <v>77</v>
      </c>
      <c r="B78" t="s">
        <v>121</v>
      </c>
      <c r="C78" t="s">
        <v>101</v>
      </c>
      <c r="D78">
        <v>106.057124750673</v>
      </c>
    </row>
    <row r="79" spans="1:4" x14ac:dyDescent="0.25">
      <c r="A79">
        <v>78</v>
      </c>
      <c r="B79" t="s">
        <v>121</v>
      </c>
      <c r="C79" t="s">
        <v>101</v>
      </c>
      <c r="D79">
        <v>104.190012230812</v>
      </c>
    </row>
    <row r="80" spans="1:4" x14ac:dyDescent="0.25">
      <c r="A80">
        <v>79</v>
      </c>
      <c r="B80" t="s">
        <v>121</v>
      </c>
      <c r="C80" t="s">
        <v>106</v>
      </c>
      <c r="D80">
        <v>100.070114638088</v>
      </c>
    </row>
    <row r="81" spans="1:4" x14ac:dyDescent="0.25">
      <c r="A81">
        <v>80</v>
      </c>
      <c r="B81" t="s">
        <v>121</v>
      </c>
      <c r="C81" t="s">
        <v>106</v>
      </c>
      <c r="D81">
        <v>102.851092936852</v>
      </c>
    </row>
    <row r="85" spans="1:4" x14ac:dyDescent="0.25">
      <c r="A85" t="s">
        <v>224</v>
      </c>
    </row>
    <row r="87" spans="1:4" x14ac:dyDescent="0.25">
      <c r="B87" t="s">
        <v>98</v>
      </c>
      <c r="C87" t="s">
        <v>99</v>
      </c>
      <c r="D87" t="s">
        <v>192</v>
      </c>
    </row>
    <row r="88" spans="1:4" x14ac:dyDescent="0.25">
      <c r="A88">
        <v>1</v>
      </c>
      <c r="B88" t="s">
        <v>100</v>
      </c>
      <c r="C88" t="s">
        <v>101</v>
      </c>
      <c r="D88">
        <v>105.91254948744201</v>
      </c>
    </row>
    <row r="89" spans="1:4" x14ac:dyDescent="0.25">
      <c r="A89">
        <v>2</v>
      </c>
      <c r="B89" t="s">
        <v>100</v>
      </c>
      <c r="C89" t="s">
        <v>101</v>
      </c>
      <c r="D89">
        <v>103.459443897618</v>
      </c>
    </row>
    <row r="90" spans="1:4" x14ac:dyDescent="0.25">
      <c r="A90">
        <v>3</v>
      </c>
      <c r="B90" t="s">
        <v>100</v>
      </c>
      <c r="C90" t="s">
        <v>106</v>
      </c>
      <c r="D90">
        <v>100.374620448402</v>
      </c>
    </row>
    <row r="91" spans="1:4" x14ac:dyDescent="0.25">
      <c r="A91">
        <v>4</v>
      </c>
      <c r="B91" t="s">
        <v>100</v>
      </c>
      <c r="C91" t="s">
        <v>106</v>
      </c>
      <c r="D91">
        <v>103.765913942498</v>
      </c>
    </row>
    <row r="92" spans="1:4" x14ac:dyDescent="0.25">
      <c r="A92">
        <v>5</v>
      </c>
      <c r="B92" t="s">
        <v>102</v>
      </c>
      <c r="C92" t="s">
        <v>101</v>
      </c>
      <c r="D92">
        <v>101.52339031338801</v>
      </c>
    </row>
    <row r="93" spans="1:4" x14ac:dyDescent="0.25">
      <c r="A93">
        <v>6</v>
      </c>
      <c r="B93" t="s">
        <v>102</v>
      </c>
      <c r="C93" t="s">
        <v>101</v>
      </c>
      <c r="D93">
        <v>101.334799870363</v>
      </c>
    </row>
    <row r="94" spans="1:4" x14ac:dyDescent="0.25">
      <c r="A94">
        <v>7</v>
      </c>
      <c r="B94" t="s">
        <v>102</v>
      </c>
      <c r="C94" t="s">
        <v>106</v>
      </c>
    </row>
    <row r="95" spans="1:4" x14ac:dyDescent="0.25">
      <c r="A95">
        <v>8</v>
      </c>
      <c r="B95" t="s">
        <v>102</v>
      </c>
      <c r="C95" t="s">
        <v>106</v>
      </c>
    </row>
    <row r="96" spans="1:4" x14ac:dyDescent="0.25">
      <c r="A96">
        <v>9</v>
      </c>
      <c r="B96" t="s">
        <v>103</v>
      </c>
      <c r="C96" t="s">
        <v>101</v>
      </c>
      <c r="D96">
        <v>104.639388464438</v>
      </c>
    </row>
    <row r="97" spans="1:4" x14ac:dyDescent="0.25">
      <c r="A97">
        <v>10</v>
      </c>
      <c r="B97" t="s">
        <v>103</v>
      </c>
      <c r="C97" t="s">
        <v>101</v>
      </c>
      <c r="D97">
        <v>94.140946998019203</v>
      </c>
    </row>
    <row r="98" spans="1:4" x14ac:dyDescent="0.25">
      <c r="A98">
        <v>11</v>
      </c>
      <c r="B98" t="s">
        <v>103</v>
      </c>
      <c r="C98" t="s">
        <v>106</v>
      </c>
      <c r="D98">
        <v>95.331980483197896</v>
      </c>
    </row>
    <row r="99" spans="1:4" x14ac:dyDescent="0.25">
      <c r="A99">
        <v>12</v>
      </c>
      <c r="B99" t="s">
        <v>103</v>
      </c>
      <c r="C99" t="s">
        <v>106</v>
      </c>
      <c r="D99">
        <v>98.001881267459893</v>
      </c>
    </row>
    <row r="100" spans="1:4" x14ac:dyDescent="0.25">
      <c r="A100">
        <v>13</v>
      </c>
      <c r="B100" t="s">
        <v>104</v>
      </c>
      <c r="C100" t="s">
        <v>101</v>
      </c>
      <c r="D100">
        <v>104.594870621225</v>
      </c>
    </row>
    <row r="101" spans="1:4" x14ac:dyDescent="0.25">
      <c r="A101">
        <v>14</v>
      </c>
      <c r="B101" t="s">
        <v>104</v>
      </c>
      <c r="C101" t="s">
        <v>101</v>
      </c>
      <c r="D101">
        <v>98.530713798513403</v>
      </c>
    </row>
    <row r="102" spans="1:4" x14ac:dyDescent="0.25">
      <c r="A102">
        <v>15</v>
      </c>
      <c r="B102" t="s">
        <v>104</v>
      </c>
      <c r="C102" t="s">
        <v>106</v>
      </c>
      <c r="D102">
        <v>96.039491787101397</v>
      </c>
    </row>
    <row r="103" spans="1:4" x14ac:dyDescent="0.25">
      <c r="A103">
        <v>16</v>
      </c>
      <c r="B103" t="s">
        <v>104</v>
      </c>
      <c r="C103" t="s">
        <v>106</v>
      </c>
      <c r="D103">
        <v>93.734562913754502</v>
      </c>
    </row>
    <row r="104" spans="1:4" x14ac:dyDescent="0.25">
      <c r="A104">
        <v>17</v>
      </c>
      <c r="B104" t="s">
        <v>105</v>
      </c>
      <c r="C104" t="s">
        <v>101</v>
      </c>
      <c r="D104">
        <v>103.816993585125</v>
      </c>
    </row>
    <row r="105" spans="1:4" x14ac:dyDescent="0.25">
      <c r="A105">
        <v>18</v>
      </c>
      <c r="B105" t="s">
        <v>105</v>
      </c>
      <c r="C105" t="s">
        <v>101</v>
      </c>
      <c r="D105">
        <v>100.908936633932</v>
      </c>
    </row>
    <row r="106" spans="1:4" x14ac:dyDescent="0.25">
      <c r="A106">
        <v>19</v>
      </c>
      <c r="B106" t="s">
        <v>105</v>
      </c>
      <c r="C106" t="s">
        <v>106</v>
      </c>
      <c r="D106">
        <v>95.247126548386404</v>
      </c>
    </row>
    <row r="107" spans="1:4" x14ac:dyDescent="0.25">
      <c r="A107">
        <v>20</v>
      </c>
      <c r="B107" t="s">
        <v>105</v>
      </c>
      <c r="C107" t="s">
        <v>106</v>
      </c>
      <c r="D107">
        <v>103.27943303077799</v>
      </c>
    </row>
    <row r="108" spans="1:4" x14ac:dyDescent="0.25">
      <c r="A108">
        <v>21</v>
      </c>
      <c r="B108" t="s">
        <v>107</v>
      </c>
      <c r="C108" t="s">
        <v>101</v>
      </c>
      <c r="D108">
        <v>98.578804752151896</v>
      </c>
    </row>
    <row r="109" spans="1:4" x14ac:dyDescent="0.25">
      <c r="A109">
        <v>22</v>
      </c>
      <c r="B109" t="s">
        <v>107</v>
      </c>
      <c r="C109" t="s">
        <v>101</v>
      </c>
      <c r="D109">
        <v>100.657733243134</v>
      </c>
    </row>
    <row r="110" spans="1:4" x14ac:dyDescent="0.25">
      <c r="A110">
        <v>23</v>
      </c>
      <c r="B110" t="s">
        <v>107</v>
      </c>
      <c r="C110" t="s">
        <v>106</v>
      </c>
      <c r="D110">
        <v>104.575040466348</v>
      </c>
    </row>
    <row r="111" spans="1:4" x14ac:dyDescent="0.25">
      <c r="A111">
        <v>24</v>
      </c>
      <c r="B111" t="s">
        <v>107</v>
      </c>
      <c r="C111" t="s">
        <v>106</v>
      </c>
      <c r="D111">
        <v>102.107644530922</v>
      </c>
    </row>
    <row r="112" spans="1:4" x14ac:dyDescent="0.25">
      <c r="A112">
        <v>25</v>
      </c>
      <c r="B112" t="s">
        <v>108</v>
      </c>
      <c r="C112" t="s">
        <v>101</v>
      </c>
      <c r="D112">
        <v>98.114225588836803</v>
      </c>
    </row>
    <row r="113" spans="1:4" x14ac:dyDescent="0.25">
      <c r="A113">
        <v>26</v>
      </c>
      <c r="B113" t="s">
        <v>108</v>
      </c>
      <c r="C113" t="s">
        <v>101</v>
      </c>
      <c r="D113">
        <v>104.77635112279</v>
      </c>
    </row>
    <row r="114" spans="1:4" x14ac:dyDescent="0.25">
      <c r="A114">
        <v>27</v>
      </c>
      <c r="B114" t="s">
        <v>108</v>
      </c>
      <c r="C114" t="s">
        <v>106</v>
      </c>
      <c r="D114">
        <v>102.46555249469699</v>
      </c>
    </row>
    <row r="115" spans="1:4" x14ac:dyDescent="0.25">
      <c r="A115">
        <v>28</v>
      </c>
      <c r="B115" t="s">
        <v>108</v>
      </c>
      <c r="C115" t="s">
        <v>106</v>
      </c>
      <c r="D115">
        <v>99.938488746252204</v>
      </c>
    </row>
    <row r="116" spans="1:4" x14ac:dyDescent="0.25">
      <c r="A116">
        <v>29</v>
      </c>
      <c r="B116" t="s">
        <v>109</v>
      </c>
      <c r="C116" t="s">
        <v>101</v>
      </c>
      <c r="D116">
        <v>103.061864182264</v>
      </c>
    </row>
    <row r="117" spans="1:4" x14ac:dyDescent="0.25">
      <c r="A117">
        <v>30</v>
      </c>
      <c r="B117" t="s">
        <v>109</v>
      </c>
      <c r="C117" t="s">
        <v>101</v>
      </c>
      <c r="D117">
        <v>102.96684523714001</v>
      </c>
    </row>
    <row r="118" spans="1:4" x14ac:dyDescent="0.25">
      <c r="A118">
        <v>31</v>
      </c>
      <c r="B118" t="s">
        <v>109</v>
      </c>
      <c r="C118" t="s">
        <v>106</v>
      </c>
      <c r="D118">
        <v>90.750612406640599</v>
      </c>
    </row>
    <row r="119" spans="1:4" x14ac:dyDescent="0.25">
      <c r="A119">
        <v>32</v>
      </c>
      <c r="B119" t="s">
        <v>109</v>
      </c>
      <c r="C119" t="s">
        <v>106</v>
      </c>
      <c r="D119">
        <v>93.400877471520005</v>
      </c>
    </row>
    <row r="120" spans="1:4" x14ac:dyDescent="0.25">
      <c r="A120">
        <v>33</v>
      </c>
      <c r="B120" t="s">
        <v>110</v>
      </c>
      <c r="C120" t="s">
        <v>101</v>
      </c>
      <c r="D120">
        <v>100.50394565867001</v>
      </c>
    </row>
    <row r="121" spans="1:4" x14ac:dyDescent="0.25">
      <c r="A121">
        <v>34</v>
      </c>
      <c r="B121" t="s">
        <v>110</v>
      </c>
      <c r="C121" t="s">
        <v>101</v>
      </c>
      <c r="D121">
        <v>99.862939218668402</v>
      </c>
    </row>
    <row r="122" spans="1:4" x14ac:dyDescent="0.25">
      <c r="A122">
        <v>35</v>
      </c>
      <c r="B122" t="s">
        <v>110</v>
      </c>
      <c r="C122" t="s">
        <v>106</v>
      </c>
      <c r="D122">
        <v>98.9347816938037</v>
      </c>
    </row>
    <row r="123" spans="1:4" x14ac:dyDescent="0.25">
      <c r="A123">
        <v>36</v>
      </c>
      <c r="B123" t="s">
        <v>110</v>
      </c>
      <c r="C123" t="s">
        <v>106</v>
      </c>
      <c r="D123">
        <v>102.18390876234</v>
      </c>
    </row>
    <row r="124" spans="1:4" x14ac:dyDescent="0.25">
      <c r="A124">
        <v>37</v>
      </c>
      <c r="B124" t="s">
        <v>111</v>
      </c>
      <c r="C124" t="s">
        <v>101</v>
      </c>
      <c r="D124">
        <v>95.955394569818196</v>
      </c>
    </row>
    <row r="125" spans="1:4" x14ac:dyDescent="0.25">
      <c r="A125">
        <v>38</v>
      </c>
      <c r="B125" t="s">
        <v>111</v>
      </c>
      <c r="C125" t="s">
        <v>101</v>
      </c>
      <c r="D125">
        <v>108.471792595466</v>
      </c>
    </row>
    <row r="126" spans="1:4" x14ac:dyDescent="0.25">
      <c r="A126">
        <v>39</v>
      </c>
      <c r="B126" t="s">
        <v>111</v>
      </c>
      <c r="C126" t="s">
        <v>106</v>
      </c>
      <c r="D126">
        <v>99.493795247262895</v>
      </c>
    </row>
    <row r="127" spans="1:4" x14ac:dyDescent="0.25">
      <c r="A127">
        <v>40</v>
      </c>
      <c r="B127" t="s">
        <v>111</v>
      </c>
      <c r="C127" t="s">
        <v>106</v>
      </c>
    </row>
    <row r="128" spans="1:4" x14ac:dyDescent="0.25">
      <c r="A128">
        <v>41</v>
      </c>
      <c r="B128" t="s">
        <v>112</v>
      </c>
      <c r="C128" t="s">
        <v>101</v>
      </c>
      <c r="D128">
        <v>106.64351196067599</v>
      </c>
    </row>
    <row r="129" spans="1:4" x14ac:dyDescent="0.25">
      <c r="A129">
        <v>42</v>
      </c>
      <c r="B129" t="s">
        <v>112</v>
      </c>
      <c r="C129" t="s">
        <v>101</v>
      </c>
      <c r="D129">
        <v>98.852209551491597</v>
      </c>
    </row>
    <row r="130" spans="1:4" x14ac:dyDescent="0.25">
      <c r="A130">
        <v>43</v>
      </c>
      <c r="B130" t="s">
        <v>112</v>
      </c>
      <c r="C130" t="s">
        <v>106</v>
      </c>
      <c r="D130">
        <v>99.493433384858406</v>
      </c>
    </row>
    <row r="131" spans="1:4" x14ac:dyDescent="0.25">
      <c r="A131">
        <v>44</v>
      </c>
      <c r="B131" t="s">
        <v>112</v>
      </c>
      <c r="C131" t="s">
        <v>106</v>
      </c>
      <c r="D131">
        <v>98.634645392121001</v>
      </c>
    </row>
    <row r="132" spans="1:4" x14ac:dyDescent="0.25">
      <c r="A132">
        <v>45</v>
      </c>
      <c r="B132" t="s">
        <v>113</v>
      </c>
      <c r="C132" t="s">
        <v>101</v>
      </c>
      <c r="D132">
        <v>99.262354950237295</v>
      </c>
    </row>
    <row r="133" spans="1:4" x14ac:dyDescent="0.25">
      <c r="A133">
        <v>46</v>
      </c>
      <c r="B133" t="s">
        <v>113</v>
      </c>
      <c r="C133" t="s">
        <v>101</v>
      </c>
      <c r="D133">
        <v>99.053648233066596</v>
      </c>
    </row>
    <row r="134" spans="1:4" x14ac:dyDescent="0.25">
      <c r="A134">
        <v>47</v>
      </c>
      <c r="B134" t="s">
        <v>113</v>
      </c>
      <c r="C134" t="s">
        <v>106</v>
      </c>
      <c r="D134">
        <v>106.095248879312</v>
      </c>
    </row>
    <row r="135" spans="1:4" x14ac:dyDescent="0.25">
      <c r="A135">
        <v>48</v>
      </c>
      <c r="B135" t="s">
        <v>113</v>
      </c>
      <c r="C135" t="s">
        <v>106</v>
      </c>
      <c r="D135">
        <v>105.28232972817899</v>
      </c>
    </row>
    <row r="136" spans="1:4" x14ac:dyDescent="0.25">
      <c r="A136">
        <v>49</v>
      </c>
      <c r="B136" t="s">
        <v>114</v>
      </c>
      <c r="C136" t="s">
        <v>101</v>
      </c>
      <c r="D136">
        <v>100.65363630873</v>
      </c>
    </row>
    <row r="137" spans="1:4" x14ac:dyDescent="0.25">
      <c r="A137">
        <v>50</v>
      </c>
      <c r="B137" t="s">
        <v>114</v>
      </c>
      <c r="C137" t="s">
        <v>101</v>
      </c>
      <c r="D137">
        <v>105.12351501370399</v>
      </c>
    </row>
    <row r="138" spans="1:4" x14ac:dyDescent="0.25">
      <c r="A138">
        <v>51</v>
      </c>
      <c r="B138" t="s">
        <v>114</v>
      </c>
      <c r="C138" t="s">
        <v>106</v>
      </c>
      <c r="D138">
        <v>94.837038603240799</v>
      </c>
    </row>
    <row r="139" spans="1:4" x14ac:dyDescent="0.25">
      <c r="A139">
        <v>52</v>
      </c>
      <c r="B139" t="s">
        <v>114</v>
      </c>
      <c r="C139" t="s">
        <v>106</v>
      </c>
      <c r="D139">
        <v>97.992749210821401</v>
      </c>
    </row>
    <row r="140" spans="1:4" x14ac:dyDescent="0.25">
      <c r="A140">
        <v>53</v>
      </c>
      <c r="B140" t="s">
        <v>115</v>
      </c>
      <c r="C140" t="s">
        <v>101</v>
      </c>
      <c r="D140">
        <v>99.002807374167901</v>
      </c>
    </row>
    <row r="141" spans="1:4" x14ac:dyDescent="0.25">
      <c r="A141">
        <v>54</v>
      </c>
      <c r="B141" t="s">
        <v>115</v>
      </c>
      <c r="C141" t="s">
        <v>101</v>
      </c>
      <c r="D141">
        <v>103.745049689742</v>
      </c>
    </row>
    <row r="142" spans="1:4" x14ac:dyDescent="0.25">
      <c r="A142">
        <v>55</v>
      </c>
      <c r="B142" t="s">
        <v>115</v>
      </c>
      <c r="C142" t="s">
        <v>106</v>
      </c>
      <c r="D142">
        <v>103.08617757797801</v>
      </c>
    </row>
    <row r="143" spans="1:4" x14ac:dyDescent="0.25">
      <c r="A143">
        <v>56</v>
      </c>
      <c r="B143" t="s">
        <v>115</v>
      </c>
      <c r="C143" t="s">
        <v>106</v>
      </c>
      <c r="D143">
        <v>104.182440367005</v>
      </c>
    </row>
    <row r="144" spans="1:4" x14ac:dyDescent="0.25">
      <c r="A144">
        <v>57</v>
      </c>
      <c r="B144" t="s">
        <v>116</v>
      </c>
      <c r="C144" t="s">
        <v>101</v>
      </c>
      <c r="D144">
        <v>100.320280613403</v>
      </c>
    </row>
    <row r="145" spans="1:4" x14ac:dyDescent="0.25">
      <c r="A145">
        <v>58</v>
      </c>
      <c r="B145" t="s">
        <v>116</v>
      </c>
      <c r="C145" t="s">
        <v>101</v>
      </c>
      <c r="D145">
        <v>100.64591214593</v>
      </c>
    </row>
    <row r="146" spans="1:4" x14ac:dyDescent="0.25">
      <c r="A146">
        <v>59</v>
      </c>
      <c r="B146" t="s">
        <v>116</v>
      </c>
      <c r="C146" t="s">
        <v>106</v>
      </c>
      <c r="D146">
        <v>100.13462920147801</v>
      </c>
    </row>
    <row r="147" spans="1:4" x14ac:dyDescent="0.25">
      <c r="A147">
        <v>60</v>
      </c>
      <c r="B147" t="s">
        <v>116</v>
      </c>
      <c r="C147" t="s">
        <v>106</v>
      </c>
      <c r="D147">
        <v>93.846833066265603</v>
      </c>
    </row>
    <row r="148" spans="1:4" x14ac:dyDescent="0.25">
      <c r="A148">
        <v>61</v>
      </c>
      <c r="B148" t="s">
        <v>117</v>
      </c>
      <c r="C148" t="s">
        <v>101</v>
      </c>
      <c r="D148">
        <v>99.543655541489301</v>
      </c>
    </row>
    <row r="149" spans="1:4" x14ac:dyDescent="0.25">
      <c r="A149">
        <v>62</v>
      </c>
      <c r="B149" t="s">
        <v>117</v>
      </c>
      <c r="C149" t="s">
        <v>101</v>
      </c>
      <c r="D149">
        <v>95.551374834117695</v>
      </c>
    </row>
    <row r="150" spans="1:4" x14ac:dyDescent="0.25">
      <c r="A150">
        <v>63</v>
      </c>
      <c r="B150" t="s">
        <v>117</v>
      </c>
      <c r="C150" t="s">
        <v>106</v>
      </c>
      <c r="D150">
        <v>98.567078983067105</v>
      </c>
    </row>
    <row r="151" spans="1:4" x14ac:dyDescent="0.25">
      <c r="A151">
        <v>64</v>
      </c>
      <c r="B151" t="s">
        <v>117</v>
      </c>
      <c r="C151" t="s">
        <v>106</v>
      </c>
      <c r="D151">
        <v>94.781433284768497</v>
      </c>
    </row>
    <row r="152" spans="1:4" x14ac:dyDescent="0.25">
      <c r="A152">
        <v>65</v>
      </c>
      <c r="B152" t="s">
        <v>118</v>
      </c>
      <c r="C152" t="s">
        <v>101</v>
      </c>
      <c r="D152">
        <v>102.014383040507</v>
      </c>
    </row>
    <row r="153" spans="1:4" x14ac:dyDescent="0.25">
      <c r="A153">
        <v>66</v>
      </c>
      <c r="B153" t="s">
        <v>118</v>
      </c>
      <c r="C153" t="s">
        <v>101</v>
      </c>
      <c r="D153">
        <v>100.126420974056</v>
      </c>
    </row>
    <row r="154" spans="1:4" x14ac:dyDescent="0.25">
      <c r="A154">
        <v>67</v>
      </c>
      <c r="B154" t="s">
        <v>118</v>
      </c>
      <c r="C154" t="s">
        <v>106</v>
      </c>
      <c r="D154">
        <v>102.44322099826</v>
      </c>
    </row>
    <row r="155" spans="1:4" x14ac:dyDescent="0.25">
      <c r="A155">
        <v>68</v>
      </c>
      <c r="B155" t="s">
        <v>118</v>
      </c>
      <c r="C155" t="s">
        <v>106</v>
      </c>
      <c r="D155">
        <v>97.482457456906701</v>
      </c>
    </row>
    <row r="156" spans="1:4" x14ac:dyDescent="0.25">
      <c r="A156">
        <v>69</v>
      </c>
      <c r="B156" t="s">
        <v>119</v>
      </c>
      <c r="C156" t="s">
        <v>101</v>
      </c>
      <c r="D156">
        <v>103.330116828904</v>
      </c>
    </row>
    <row r="157" spans="1:4" x14ac:dyDescent="0.25">
      <c r="A157">
        <v>70</v>
      </c>
      <c r="B157" t="s">
        <v>119</v>
      </c>
      <c r="C157" t="s">
        <v>101</v>
      </c>
      <c r="D157">
        <v>100.166155712055</v>
      </c>
    </row>
    <row r="158" spans="1:4" x14ac:dyDescent="0.25">
      <c r="A158">
        <v>71</v>
      </c>
      <c r="B158" t="s">
        <v>119</v>
      </c>
      <c r="C158" t="s">
        <v>106</v>
      </c>
      <c r="D158">
        <v>102.301694861897</v>
      </c>
    </row>
    <row r="159" spans="1:4" x14ac:dyDescent="0.25">
      <c r="A159">
        <v>72</v>
      </c>
      <c r="B159" t="s">
        <v>119</v>
      </c>
      <c r="C159" t="s">
        <v>106</v>
      </c>
      <c r="D159">
        <v>96.319150123228596</v>
      </c>
    </row>
    <row r="160" spans="1:4" x14ac:dyDescent="0.25">
      <c r="A160">
        <v>73</v>
      </c>
      <c r="B160" t="s">
        <v>120</v>
      </c>
      <c r="C160" t="s">
        <v>101</v>
      </c>
      <c r="D160">
        <v>96.5498408573701</v>
      </c>
    </row>
    <row r="161" spans="1:4" x14ac:dyDescent="0.25">
      <c r="A161">
        <v>74</v>
      </c>
      <c r="B161" t="s">
        <v>120</v>
      </c>
      <c r="C161" t="s">
        <v>101</v>
      </c>
      <c r="D161">
        <v>99.872600728842002</v>
      </c>
    </row>
    <row r="162" spans="1:4" x14ac:dyDescent="0.25">
      <c r="A162">
        <v>75</v>
      </c>
      <c r="B162" t="s">
        <v>120</v>
      </c>
      <c r="C162" t="s">
        <v>106</v>
      </c>
      <c r="D162">
        <v>102.830345405888</v>
      </c>
    </row>
    <row r="163" spans="1:4" x14ac:dyDescent="0.25">
      <c r="A163">
        <v>76</v>
      </c>
      <c r="B163" t="s">
        <v>120</v>
      </c>
      <c r="C163" t="s">
        <v>106</v>
      </c>
      <c r="D163">
        <v>100.012136574309</v>
      </c>
    </row>
    <row r="164" spans="1:4" x14ac:dyDescent="0.25">
      <c r="A164">
        <v>77</v>
      </c>
      <c r="B164" t="s">
        <v>121</v>
      </c>
      <c r="C164" t="s">
        <v>101</v>
      </c>
      <c r="D164">
        <v>106.057124750673</v>
      </c>
    </row>
    <row r="165" spans="1:4" x14ac:dyDescent="0.25">
      <c r="A165">
        <v>78</v>
      </c>
      <c r="B165" t="s">
        <v>121</v>
      </c>
      <c r="C165" t="s">
        <v>101</v>
      </c>
      <c r="D165">
        <v>104.190012230812</v>
      </c>
    </row>
    <row r="166" spans="1:4" x14ac:dyDescent="0.25">
      <c r="A166">
        <v>79</v>
      </c>
      <c r="B166" t="s">
        <v>121</v>
      </c>
      <c r="C166" t="s">
        <v>106</v>
      </c>
      <c r="D166">
        <v>100.070114638088</v>
      </c>
    </row>
    <row r="167" spans="1:4" x14ac:dyDescent="0.25">
      <c r="A167">
        <v>80</v>
      </c>
      <c r="B167" t="s">
        <v>121</v>
      </c>
      <c r="C167" t="s">
        <v>106</v>
      </c>
      <c r="D167">
        <v>102.851092936852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19FF9-CF23-41B9-ADBC-FBDDD0AC7789}">
  <dimension ref="B1:J30"/>
  <sheetViews>
    <sheetView showGridLines="0" showRowColHeaders="0" zoomScaleNormal="100" workbookViewId="0">
      <selection activeCell="C12" sqref="C12:I29"/>
    </sheetView>
  </sheetViews>
  <sheetFormatPr defaultColWidth="11.140625" defaultRowHeight="12" customHeight="1" x14ac:dyDescent="0.25"/>
  <cols>
    <col min="1" max="2" width="1.140625" style="18" customWidth="1"/>
    <col min="3" max="3" width="19.28515625" style="18" customWidth="1"/>
    <col min="4" max="4" width="12.28515625" style="18" bestFit="1" customWidth="1"/>
    <col min="5" max="5" width="11.140625" style="18"/>
    <col min="6" max="6" width="12.42578125" style="18" bestFit="1" customWidth="1"/>
    <col min="7" max="7" width="11.140625" style="18" customWidth="1"/>
    <col min="8" max="8" width="11.42578125" style="18" bestFit="1" customWidth="1"/>
    <col min="9" max="9" width="11.140625" style="18"/>
    <col min="10" max="10" width="11.140625" style="18" customWidth="1"/>
    <col min="11" max="16384" width="11.140625" style="18"/>
  </cols>
  <sheetData>
    <row r="1" spans="2:10" s="21" customFormat="1" ht="5.0999999999999996" customHeight="1" x14ac:dyDescent="0.25"/>
    <row r="2" spans="2:10" s="21" customFormat="1" ht="20.100000000000001" customHeight="1" x14ac:dyDescent="0.25">
      <c r="B2" s="235" t="s">
        <v>193</v>
      </c>
      <c r="C2" s="236"/>
      <c r="D2" s="236"/>
      <c r="E2" s="236"/>
      <c r="F2" s="236"/>
      <c r="G2" s="236"/>
      <c r="H2" s="236"/>
      <c r="J2" s="22" t="s">
        <v>168</v>
      </c>
    </row>
    <row r="3" spans="2:10" s="21" customFormat="1" ht="12" hidden="1" customHeight="1" x14ac:dyDescent="0.25"/>
    <row r="4" spans="2:10" s="21" customFormat="1" ht="20.100000000000001" customHeight="1" x14ac:dyDescent="0.25">
      <c r="B4" s="237" t="s">
        <v>169</v>
      </c>
      <c r="C4" s="236"/>
      <c r="D4" s="236"/>
      <c r="E4" s="236"/>
      <c r="F4" s="236"/>
      <c r="G4" s="236"/>
      <c r="H4" s="236"/>
      <c r="I4" s="236"/>
      <c r="J4" s="236"/>
    </row>
    <row r="5" spans="2:10" s="21" customFormat="1" ht="20.100000000000001" customHeight="1" x14ac:dyDescent="0.25">
      <c r="B5" s="237" t="s">
        <v>170</v>
      </c>
      <c r="C5" s="236"/>
      <c r="D5" s="236"/>
      <c r="E5" s="236"/>
      <c r="F5" s="236"/>
      <c r="G5" s="236"/>
      <c r="H5" s="236"/>
      <c r="I5" s="236"/>
      <c r="J5" s="236"/>
    </row>
    <row r="6" spans="2:10" s="21" customFormat="1" ht="6" customHeight="1" x14ac:dyDescent="0.25"/>
    <row r="7" spans="2:10" s="21" customFormat="1" ht="14.1" customHeight="1" x14ac:dyDescent="0.25">
      <c r="B7" s="23" t="s">
        <v>194</v>
      </c>
    </row>
    <row r="8" spans="2:10" s="24" customFormat="1" ht="8.1" customHeight="1" x14ac:dyDescent="0.25"/>
    <row r="9" spans="2:10" ht="24.95" customHeight="1" x14ac:dyDescent="0.25"/>
    <row r="10" spans="2:10" s="26" customFormat="1" ht="15.95" customHeight="1" x14ac:dyDescent="0.25">
      <c r="B10" s="25" t="s">
        <v>171</v>
      </c>
    </row>
    <row r="11" spans="2:10" ht="9.9499999999999993" customHeight="1" x14ac:dyDescent="0.25"/>
    <row r="12" spans="2:10" ht="38.25" x14ac:dyDescent="0.2">
      <c r="C12" s="27" t="s">
        <v>172</v>
      </c>
      <c r="D12" s="29" t="s">
        <v>95</v>
      </c>
      <c r="E12" s="31" t="s">
        <v>173</v>
      </c>
      <c r="F12" s="31" t="s">
        <v>174</v>
      </c>
      <c r="G12" s="30" t="s">
        <v>175</v>
      </c>
      <c r="H12" s="28" t="s">
        <v>176</v>
      </c>
    </row>
    <row r="13" spans="2:10" ht="12" customHeight="1" x14ac:dyDescent="0.25">
      <c r="C13" s="33"/>
      <c r="D13" s="48">
        <v>100.38988950839854</v>
      </c>
      <c r="E13" s="34">
        <v>3.1523518872781216E-2</v>
      </c>
      <c r="F13" s="35">
        <v>3.1646425765544222</v>
      </c>
      <c r="G13" s="36">
        <v>3.7627484975622447E-2</v>
      </c>
      <c r="H13" s="37">
        <v>3.7774190591816637</v>
      </c>
    </row>
    <row r="14" spans="2:10" ht="15" customHeight="1" x14ac:dyDescent="0.25"/>
    <row r="15" spans="2:10" s="38" customFormat="1" ht="12" customHeight="1" x14ac:dyDescent="0.25">
      <c r="C15" s="39" t="s">
        <v>177</v>
      </c>
    </row>
    <row r="16" spans="2:10" ht="8.1" customHeight="1" x14ac:dyDescent="0.25"/>
    <row r="17" spans="3:9" ht="25.5" x14ac:dyDescent="0.2">
      <c r="C17" s="27" t="s">
        <v>178</v>
      </c>
      <c r="D17" s="29" t="s">
        <v>179</v>
      </c>
      <c r="E17" s="31" t="s">
        <v>180</v>
      </c>
      <c r="F17" s="31" t="s">
        <v>195</v>
      </c>
      <c r="G17" s="41"/>
      <c r="H17" s="28" t="s">
        <v>181</v>
      </c>
    </row>
    <row r="18" spans="3:9" ht="12" customHeight="1" x14ac:dyDescent="0.25">
      <c r="C18" s="44" t="s">
        <v>164</v>
      </c>
      <c r="D18" s="45">
        <v>0.70187374801929114</v>
      </c>
      <c r="E18" s="34">
        <v>3.1523518872781216E-2</v>
      </c>
      <c r="F18" s="34">
        <v>2.5881215454310803E-2</v>
      </c>
      <c r="G18" s="46">
        <v>4.0334431539147869E-2</v>
      </c>
      <c r="H18" s="37">
        <v>3.1646425765544222</v>
      </c>
    </row>
    <row r="19" spans="3:9" ht="12" customHeight="1" x14ac:dyDescent="0.25">
      <c r="C19" s="44" t="s">
        <v>196</v>
      </c>
      <c r="D19" s="45">
        <v>0.29812625198070891</v>
      </c>
      <c r="E19" s="34">
        <v>2.0544960050292133E-2</v>
      </c>
      <c r="F19" s="34">
        <v>0</v>
      </c>
      <c r="G19" s="46">
        <v>3.7748494440878202E-2</v>
      </c>
      <c r="H19" s="37">
        <v>2.0625062694032894</v>
      </c>
    </row>
    <row r="20" spans="3:9" ht="12" customHeight="1" x14ac:dyDescent="0.25">
      <c r="C20" s="44" t="s">
        <v>197</v>
      </c>
      <c r="D20" s="45">
        <v>1</v>
      </c>
      <c r="E20" s="34">
        <v>3.7627484975622447E-2</v>
      </c>
      <c r="F20" s="34">
        <v>3.1650663597920368E-2</v>
      </c>
      <c r="G20" s="46">
        <v>4.9621001719379595E-2</v>
      </c>
      <c r="H20" s="37">
        <v>3.7774190591816637</v>
      </c>
    </row>
    <row r="21" spans="3:9" ht="12" customHeight="1" x14ac:dyDescent="0.25">
      <c r="C21" s="44" t="s">
        <v>198</v>
      </c>
      <c r="D21" s="45">
        <v>0</v>
      </c>
      <c r="E21" s="34">
        <v>0</v>
      </c>
      <c r="F21" s="34">
        <v>0</v>
      </c>
      <c r="G21" s="46">
        <v>2.0190793907005913E-2</v>
      </c>
      <c r="H21" s="37">
        <v>0</v>
      </c>
    </row>
    <row r="22" spans="3:9" ht="12" customHeight="1" x14ac:dyDescent="0.25">
      <c r="C22" s="44" t="s">
        <v>182</v>
      </c>
      <c r="D22" s="45">
        <v>1</v>
      </c>
      <c r="E22" s="34">
        <v>3.7627484975622447E-2</v>
      </c>
      <c r="F22" s="34">
        <v>3.3627058708404052E-2</v>
      </c>
      <c r="G22" s="46">
        <v>4.5952437339526891E-2</v>
      </c>
      <c r="H22" s="37">
        <v>3.7774190591816637</v>
      </c>
    </row>
    <row r="23" spans="3:9" ht="15" customHeight="1" x14ac:dyDescent="0.25"/>
    <row r="24" spans="3:9" s="20" customFormat="1" ht="12" customHeight="1" x14ac:dyDescent="0.25">
      <c r="C24" s="19" t="s">
        <v>183</v>
      </c>
    </row>
    <row r="25" spans="3:9" ht="8.1" customHeight="1" x14ac:dyDescent="0.25"/>
    <row r="26" spans="3:9" ht="12" customHeight="1" x14ac:dyDescent="0.2">
      <c r="C26" s="27" t="s">
        <v>184</v>
      </c>
      <c r="D26" s="29" t="s">
        <v>185</v>
      </c>
      <c r="E26" s="31" t="s">
        <v>186</v>
      </c>
      <c r="F26" s="30" t="s">
        <v>187</v>
      </c>
      <c r="G26" s="28" t="s">
        <v>188</v>
      </c>
      <c r="H26" s="40"/>
      <c r="I26" s="40"/>
    </row>
    <row r="27" spans="3:9" ht="13.5" customHeight="1" x14ac:dyDescent="0.25">
      <c r="C27" s="44" t="s">
        <v>98</v>
      </c>
      <c r="D27" s="48">
        <v>248.53879533730492</v>
      </c>
      <c r="E27" s="49">
        <v>19</v>
      </c>
      <c r="F27" s="50">
        <v>13.080989228279206</v>
      </c>
      <c r="G27" s="238" t="s">
        <v>200</v>
      </c>
      <c r="H27" s="239"/>
      <c r="I27" s="239"/>
    </row>
    <row r="28" spans="3:9" ht="13.5" customHeight="1" x14ac:dyDescent="0.25">
      <c r="C28" s="44" t="s">
        <v>201</v>
      </c>
      <c r="D28" s="48">
        <v>370.45653719993516</v>
      </c>
      <c r="E28" s="49">
        <v>20</v>
      </c>
      <c r="F28" s="50">
        <v>18.522826859996758</v>
      </c>
      <c r="G28" s="19" t="s">
        <v>203</v>
      </c>
      <c r="H28" s="20"/>
      <c r="I28" s="20"/>
    </row>
    <row r="29" spans="3:9" ht="13.5" customHeight="1" x14ac:dyDescent="0.25">
      <c r="C29" s="44" t="s">
        <v>189</v>
      </c>
      <c r="D29" s="48">
        <v>400.59850549364046</v>
      </c>
      <c r="E29" s="49">
        <v>40</v>
      </c>
      <c r="F29" s="50">
        <v>10.014962637341011</v>
      </c>
      <c r="G29" s="19" t="s">
        <v>191</v>
      </c>
      <c r="H29" s="20"/>
      <c r="I29" s="20"/>
    </row>
    <row r="30" spans="3:9" ht="30" customHeight="1" x14ac:dyDescent="0.25"/>
  </sheetData>
  <mergeCells count="4">
    <mergeCell ref="B2:H2"/>
    <mergeCell ref="B4:J4"/>
    <mergeCell ref="B5:J5"/>
    <mergeCell ref="G27:I27"/>
  </mergeCells>
  <printOptions horizontalCentered="1"/>
  <pageMargins left="0.19685039255354139" right="0.19685039255354139" top="0.19685039255354139" bottom="0.19685039255354139" header="0.3" footer="0.3"/>
  <pageSetup paperSize="9" orientation="portrait" blackAndWhite="1" verticalDpi="0" r:id="rId1"/>
  <headerFooter scaleWithDoc="0"/>
  <customProperties>
    <customPr name="__ai3_report" r:id="rId2"/>
    <customPr name="__ai3_ribbonstate" r:id="rId3"/>
  </customPropertie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225C1-3E53-42C3-8E45-6158677CDFFF}">
  <dimension ref="A1:C23"/>
  <sheetViews>
    <sheetView workbookViewId="0">
      <selection activeCell="A26" sqref="A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37</v>
      </c>
      <c r="B1" t="s">
        <v>38</v>
      </c>
      <c r="C1" t="s">
        <v>39</v>
      </c>
    </row>
    <row r="2" spans="1:3" x14ac:dyDescent="0.25">
      <c r="A2" t="s">
        <v>86</v>
      </c>
      <c r="B2" t="b">
        <v>1</v>
      </c>
      <c r="C2" t="s">
        <v>87</v>
      </c>
    </row>
    <row r="3" spans="1:3" x14ac:dyDescent="0.25">
      <c r="A3" t="s">
        <v>40</v>
      </c>
      <c r="B3" s="1" t="s">
        <v>41</v>
      </c>
      <c r="C3" t="s">
        <v>88</v>
      </c>
    </row>
    <row r="4" spans="1:3" x14ac:dyDescent="0.25">
      <c r="A4" t="s">
        <v>42</v>
      </c>
      <c r="B4" s="1" t="s">
        <v>43</v>
      </c>
      <c r="C4" t="s">
        <v>89</v>
      </c>
    </row>
    <row r="5" spans="1:3" x14ac:dyDescent="0.25">
      <c r="A5" t="s">
        <v>44</v>
      </c>
      <c r="B5" s="1" t="s">
        <v>45</v>
      </c>
      <c r="C5" t="s">
        <v>46</v>
      </c>
    </row>
    <row r="6" spans="1:3" x14ac:dyDescent="0.25">
      <c r="A6" t="s">
        <v>47</v>
      </c>
      <c r="B6" s="1" t="s">
        <v>48</v>
      </c>
      <c r="C6" t="s">
        <v>49</v>
      </c>
    </row>
    <row r="7" spans="1:3" x14ac:dyDescent="0.25">
      <c r="A7" t="s">
        <v>50</v>
      </c>
      <c r="B7" s="1" t="s">
        <v>51</v>
      </c>
      <c r="C7" t="s">
        <v>52</v>
      </c>
    </row>
    <row r="8" spans="1:3" x14ac:dyDescent="0.25">
      <c r="A8" t="s">
        <v>53</v>
      </c>
      <c r="B8" s="1" t="s">
        <v>54</v>
      </c>
      <c r="C8" t="s">
        <v>55</v>
      </c>
    </row>
    <row r="9" spans="1:3" x14ac:dyDescent="0.25">
      <c r="A9" t="s">
        <v>56</v>
      </c>
      <c r="B9" s="1" t="s">
        <v>57</v>
      </c>
      <c r="C9" t="s">
        <v>58</v>
      </c>
    </row>
    <row r="10" spans="1:3" x14ac:dyDescent="0.25">
      <c r="A10" t="s">
        <v>59</v>
      </c>
      <c r="B10" s="1" t="b">
        <v>0</v>
      </c>
      <c r="C10" t="s">
        <v>60</v>
      </c>
    </row>
    <row r="11" spans="1:3" x14ac:dyDescent="0.25">
      <c r="A11" t="s">
        <v>61</v>
      </c>
      <c r="B11" s="2">
        <v>1</v>
      </c>
      <c r="C11" t="s">
        <v>62</v>
      </c>
    </row>
    <row r="12" spans="1:3" x14ac:dyDescent="0.25">
      <c r="A12" t="s">
        <v>63</v>
      </c>
      <c r="B12" s="1" t="s">
        <v>64</v>
      </c>
      <c r="C12" t="s">
        <v>65</v>
      </c>
    </row>
    <row r="13" spans="1:3" x14ac:dyDescent="0.25">
      <c r="A13" t="s">
        <v>66</v>
      </c>
      <c r="B13" s="1" t="s">
        <v>67</v>
      </c>
      <c r="C13" t="s">
        <v>68</v>
      </c>
    </row>
    <row r="14" spans="1:3" x14ac:dyDescent="0.25">
      <c r="A14" t="s">
        <v>69</v>
      </c>
      <c r="B14" s="1" t="b">
        <v>1</v>
      </c>
      <c r="C14" t="s">
        <v>70</v>
      </c>
    </row>
    <row r="15" spans="1:3" x14ac:dyDescent="0.25">
      <c r="A15" t="s">
        <v>71</v>
      </c>
      <c r="B15" s="1" t="s">
        <v>72</v>
      </c>
      <c r="C15" t="s">
        <v>73</v>
      </c>
    </row>
    <row r="16" spans="1:3" x14ac:dyDescent="0.25">
      <c r="A16" t="s">
        <v>74</v>
      </c>
      <c r="B16" s="1" t="s">
        <v>75</v>
      </c>
      <c r="C16" t="s">
        <v>76</v>
      </c>
    </row>
    <row r="17" spans="1:3" x14ac:dyDescent="0.25">
      <c r="A17" t="s">
        <v>77</v>
      </c>
      <c r="B17" s="1" t="s">
        <v>78</v>
      </c>
      <c r="C17" t="s">
        <v>79</v>
      </c>
    </row>
    <row r="18" spans="1:3" x14ac:dyDescent="0.25">
      <c r="A18" t="s">
        <v>80</v>
      </c>
      <c r="B18" s="1" t="s">
        <v>81</v>
      </c>
      <c r="C18" t="s">
        <v>82</v>
      </c>
    </row>
    <row r="19" spans="1:3" x14ac:dyDescent="0.25">
      <c r="A19" t="s">
        <v>83</v>
      </c>
      <c r="B19" s="1" t="s">
        <v>84</v>
      </c>
      <c r="C19" t="s">
        <v>85</v>
      </c>
    </row>
    <row r="20" spans="1:3" x14ac:dyDescent="0.25">
      <c r="A20" t="s">
        <v>248</v>
      </c>
      <c r="B20" t="s">
        <v>249</v>
      </c>
      <c r="C20" t="s">
        <v>250</v>
      </c>
    </row>
    <row r="21" spans="1:3" x14ac:dyDescent="0.25">
      <c r="A21" t="s">
        <v>251</v>
      </c>
      <c r="B21" t="s">
        <v>252</v>
      </c>
      <c r="C21" t="s">
        <v>253</v>
      </c>
    </row>
    <row r="22" spans="1:3" x14ac:dyDescent="0.25">
      <c r="A22" t="s">
        <v>254</v>
      </c>
      <c r="B22" t="s">
        <v>255</v>
      </c>
      <c r="C22" t="s">
        <v>256</v>
      </c>
    </row>
    <row r="23" spans="1:3" x14ac:dyDescent="0.25">
      <c r="A23" t="s">
        <v>257</v>
      </c>
      <c r="B23" t="s">
        <v>249</v>
      </c>
      <c r="C23" t="s">
        <v>250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6204-48D9-454C-9744-8C8F9C4F181A}">
  <dimension ref="A1:D81"/>
  <sheetViews>
    <sheetView workbookViewId="0">
      <selection activeCell="D2" sqref="D2:D81"/>
    </sheetView>
  </sheetViews>
  <sheetFormatPr defaultRowHeight="15" x14ac:dyDescent="0.25"/>
  <sheetData>
    <row r="1" spans="1:4" x14ac:dyDescent="0.25">
      <c r="A1" t="s">
        <v>98</v>
      </c>
      <c r="B1" t="s">
        <v>99</v>
      </c>
      <c r="C1" t="s">
        <v>192</v>
      </c>
      <c r="D1" t="s">
        <v>233</v>
      </c>
    </row>
    <row r="2" spans="1:4" x14ac:dyDescent="0.25">
      <c r="A2" t="s">
        <v>100</v>
      </c>
      <c r="B2" t="s">
        <v>101</v>
      </c>
      <c r="C2">
        <v>105.91254948744201</v>
      </c>
      <c r="D2">
        <v>242</v>
      </c>
    </row>
    <row r="3" spans="1:4" x14ac:dyDescent="0.25">
      <c r="A3" t="s">
        <v>100</v>
      </c>
      <c r="B3" t="s">
        <v>101</v>
      </c>
      <c r="C3">
        <v>103.459443897618</v>
      </c>
      <c r="D3">
        <v>246</v>
      </c>
    </row>
    <row r="4" spans="1:4" x14ac:dyDescent="0.25">
      <c r="A4" t="s">
        <v>100</v>
      </c>
      <c r="B4" t="s">
        <v>106</v>
      </c>
      <c r="C4">
        <v>100.374620448402</v>
      </c>
      <c r="D4">
        <v>245</v>
      </c>
    </row>
    <row r="5" spans="1:4" x14ac:dyDescent="0.25">
      <c r="A5" t="s">
        <v>100</v>
      </c>
      <c r="B5" t="s">
        <v>106</v>
      </c>
      <c r="C5">
        <v>103.765913942498</v>
      </c>
      <c r="D5">
        <v>246</v>
      </c>
    </row>
    <row r="6" spans="1:4" x14ac:dyDescent="0.25">
      <c r="A6" t="s">
        <v>102</v>
      </c>
      <c r="B6" t="s">
        <v>101</v>
      </c>
      <c r="C6">
        <v>101.52339031338801</v>
      </c>
      <c r="D6">
        <v>243</v>
      </c>
    </row>
    <row r="7" spans="1:4" x14ac:dyDescent="0.25">
      <c r="A7" t="s">
        <v>102</v>
      </c>
      <c r="B7" t="s">
        <v>101</v>
      </c>
      <c r="C7">
        <v>101.334799870363</v>
      </c>
      <c r="D7">
        <v>242</v>
      </c>
    </row>
    <row r="8" spans="1:4" x14ac:dyDescent="0.25">
      <c r="A8" t="s">
        <v>102</v>
      </c>
      <c r="B8" t="s">
        <v>106</v>
      </c>
      <c r="C8">
        <v>102.72422719070801</v>
      </c>
      <c r="D8">
        <v>238</v>
      </c>
    </row>
    <row r="9" spans="1:4" x14ac:dyDescent="0.25">
      <c r="A9" t="s">
        <v>102</v>
      </c>
      <c r="B9" t="s">
        <v>106</v>
      </c>
      <c r="C9">
        <v>99.324477084567704</v>
      </c>
      <c r="D9">
        <v>238</v>
      </c>
    </row>
    <row r="10" spans="1:4" x14ac:dyDescent="0.25">
      <c r="A10" t="s">
        <v>103</v>
      </c>
      <c r="B10" t="s">
        <v>101</v>
      </c>
      <c r="C10">
        <v>104.639388464438</v>
      </c>
      <c r="D10">
        <v>247</v>
      </c>
    </row>
    <row r="11" spans="1:4" x14ac:dyDescent="0.25">
      <c r="A11" t="s">
        <v>103</v>
      </c>
      <c r="B11" t="s">
        <v>101</v>
      </c>
      <c r="C11">
        <v>94.140946998019203</v>
      </c>
      <c r="D11">
        <v>239</v>
      </c>
    </row>
    <row r="12" spans="1:4" x14ac:dyDescent="0.25">
      <c r="A12" t="s">
        <v>103</v>
      </c>
      <c r="B12" t="s">
        <v>106</v>
      </c>
      <c r="C12">
        <v>95.331980483197896</v>
      </c>
      <c r="D12">
        <v>241</v>
      </c>
    </row>
    <row r="13" spans="1:4" x14ac:dyDescent="0.25">
      <c r="A13" t="s">
        <v>103</v>
      </c>
      <c r="B13" t="s">
        <v>106</v>
      </c>
      <c r="C13">
        <v>98.001881267459893</v>
      </c>
      <c r="D13">
        <v>240</v>
      </c>
    </row>
    <row r="14" spans="1:4" x14ac:dyDescent="0.25">
      <c r="A14" t="s">
        <v>104</v>
      </c>
      <c r="B14" t="s">
        <v>101</v>
      </c>
      <c r="C14">
        <v>104.594870621225</v>
      </c>
      <c r="D14">
        <v>249</v>
      </c>
    </row>
    <row r="15" spans="1:4" x14ac:dyDescent="0.25">
      <c r="A15" t="s">
        <v>104</v>
      </c>
      <c r="B15" t="s">
        <v>101</v>
      </c>
      <c r="C15">
        <v>98.530713798513403</v>
      </c>
      <c r="D15">
        <v>241</v>
      </c>
    </row>
    <row r="16" spans="1:4" x14ac:dyDescent="0.25">
      <c r="A16" t="s">
        <v>104</v>
      </c>
      <c r="B16" t="s">
        <v>106</v>
      </c>
      <c r="C16">
        <v>96.039491787101397</v>
      </c>
      <c r="D16">
        <v>250</v>
      </c>
    </row>
    <row r="17" spans="1:4" x14ac:dyDescent="0.25">
      <c r="A17" t="s">
        <v>104</v>
      </c>
      <c r="B17" t="s">
        <v>106</v>
      </c>
      <c r="C17">
        <v>93.734562913754502</v>
      </c>
      <c r="D17">
        <v>245</v>
      </c>
    </row>
    <row r="18" spans="1:4" x14ac:dyDescent="0.25">
      <c r="A18" t="s">
        <v>105</v>
      </c>
      <c r="B18" t="s">
        <v>101</v>
      </c>
      <c r="C18">
        <v>103.816993585125</v>
      </c>
      <c r="D18">
        <v>246</v>
      </c>
    </row>
    <row r="19" spans="1:4" x14ac:dyDescent="0.25">
      <c r="A19" t="s">
        <v>105</v>
      </c>
      <c r="B19" t="s">
        <v>101</v>
      </c>
      <c r="C19">
        <v>100.908936633932</v>
      </c>
      <c r="D19">
        <v>242</v>
      </c>
    </row>
    <row r="20" spans="1:4" x14ac:dyDescent="0.25">
      <c r="A20" t="s">
        <v>105</v>
      </c>
      <c r="B20" t="s">
        <v>106</v>
      </c>
      <c r="C20">
        <v>95.247126548386404</v>
      </c>
      <c r="D20">
        <v>243</v>
      </c>
    </row>
    <row r="21" spans="1:4" x14ac:dyDescent="0.25">
      <c r="A21" t="s">
        <v>105</v>
      </c>
      <c r="B21" t="s">
        <v>106</v>
      </c>
      <c r="C21">
        <v>103.27943303077799</v>
      </c>
      <c r="D21">
        <v>240</v>
      </c>
    </row>
    <row r="22" spans="1:4" x14ac:dyDescent="0.25">
      <c r="A22" t="s">
        <v>107</v>
      </c>
      <c r="B22" t="s">
        <v>101</v>
      </c>
      <c r="C22">
        <v>98.578804752151896</v>
      </c>
      <c r="D22">
        <v>244</v>
      </c>
    </row>
    <row r="23" spans="1:4" x14ac:dyDescent="0.25">
      <c r="A23" t="s">
        <v>107</v>
      </c>
      <c r="B23" t="s">
        <v>101</v>
      </c>
      <c r="C23">
        <v>100.657733243134</v>
      </c>
      <c r="D23">
        <v>245</v>
      </c>
    </row>
    <row r="24" spans="1:4" x14ac:dyDescent="0.25">
      <c r="A24" t="s">
        <v>107</v>
      </c>
      <c r="B24" t="s">
        <v>106</v>
      </c>
      <c r="C24">
        <v>104.575040466348</v>
      </c>
      <c r="D24">
        <v>251</v>
      </c>
    </row>
    <row r="25" spans="1:4" x14ac:dyDescent="0.25">
      <c r="A25" t="s">
        <v>107</v>
      </c>
      <c r="B25" t="s">
        <v>106</v>
      </c>
      <c r="C25">
        <v>102.107644530922</v>
      </c>
      <c r="D25">
        <v>247</v>
      </c>
    </row>
    <row r="26" spans="1:4" x14ac:dyDescent="0.25">
      <c r="A26" t="s">
        <v>108</v>
      </c>
      <c r="B26" t="s">
        <v>101</v>
      </c>
      <c r="C26">
        <v>98.114225588836803</v>
      </c>
      <c r="D26">
        <v>241</v>
      </c>
    </row>
    <row r="27" spans="1:4" x14ac:dyDescent="0.25">
      <c r="A27" t="s">
        <v>108</v>
      </c>
      <c r="B27" t="s">
        <v>101</v>
      </c>
      <c r="C27">
        <v>104.77635112279</v>
      </c>
      <c r="D27">
        <v>246</v>
      </c>
    </row>
    <row r="28" spans="1:4" x14ac:dyDescent="0.25">
      <c r="A28" t="s">
        <v>108</v>
      </c>
      <c r="B28" t="s">
        <v>106</v>
      </c>
      <c r="C28">
        <v>102.46555249469699</v>
      </c>
      <c r="D28">
        <v>245</v>
      </c>
    </row>
    <row r="29" spans="1:4" x14ac:dyDescent="0.25">
      <c r="A29" t="s">
        <v>108</v>
      </c>
      <c r="B29" t="s">
        <v>106</v>
      </c>
      <c r="C29">
        <v>99.938488746252204</v>
      </c>
      <c r="D29">
        <v>247</v>
      </c>
    </row>
    <row r="30" spans="1:4" x14ac:dyDescent="0.25">
      <c r="A30" t="s">
        <v>109</v>
      </c>
      <c r="B30" t="s">
        <v>101</v>
      </c>
      <c r="C30">
        <v>103.061864182264</v>
      </c>
      <c r="D30">
        <v>245</v>
      </c>
    </row>
    <row r="31" spans="1:4" x14ac:dyDescent="0.25">
      <c r="A31" t="s">
        <v>109</v>
      </c>
      <c r="B31" t="s">
        <v>101</v>
      </c>
      <c r="C31">
        <v>102.96684523714001</v>
      </c>
      <c r="D31">
        <v>245</v>
      </c>
    </row>
    <row r="32" spans="1:4" x14ac:dyDescent="0.25">
      <c r="A32" t="s">
        <v>109</v>
      </c>
      <c r="B32" t="s">
        <v>106</v>
      </c>
      <c r="C32">
        <v>90.750612406640599</v>
      </c>
      <c r="D32">
        <v>243</v>
      </c>
    </row>
    <row r="33" spans="1:4" x14ac:dyDescent="0.25">
      <c r="A33" t="s">
        <v>109</v>
      </c>
      <c r="B33" t="s">
        <v>106</v>
      </c>
      <c r="C33">
        <v>93.400877471520005</v>
      </c>
      <c r="D33">
        <v>245</v>
      </c>
    </row>
    <row r="34" spans="1:4" x14ac:dyDescent="0.25">
      <c r="A34" t="s">
        <v>110</v>
      </c>
      <c r="B34" t="s">
        <v>101</v>
      </c>
      <c r="C34">
        <v>100.50394565867001</v>
      </c>
      <c r="D34">
        <v>243</v>
      </c>
    </row>
    <row r="35" spans="1:4" x14ac:dyDescent="0.25">
      <c r="A35" t="s">
        <v>110</v>
      </c>
      <c r="B35" t="s">
        <v>101</v>
      </c>
      <c r="C35">
        <v>99.862939218668402</v>
      </c>
      <c r="D35">
        <v>239</v>
      </c>
    </row>
    <row r="36" spans="1:4" x14ac:dyDescent="0.25">
      <c r="A36" t="s">
        <v>110</v>
      </c>
      <c r="B36" t="s">
        <v>106</v>
      </c>
      <c r="C36">
        <v>98.9347816938037</v>
      </c>
      <c r="D36">
        <v>244</v>
      </c>
    </row>
    <row r="37" spans="1:4" x14ac:dyDescent="0.25">
      <c r="A37" t="s">
        <v>110</v>
      </c>
      <c r="B37" t="s">
        <v>106</v>
      </c>
      <c r="C37">
        <v>102.18390876234</v>
      </c>
      <c r="D37">
        <v>245</v>
      </c>
    </row>
    <row r="38" spans="1:4" x14ac:dyDescent="0.25">
      <c r="A38" t="s">
        <v>111</v>
      </c>
      <c r="B38" t="s">
        <v>101</v>
      </c>
      <c r="C38">
        <v>95.955394569818196</v>
      </c>
      <c r="D38">
        <v>244</v>
      </c>
    </row>
    <row r="39" spans="1:4" x14ac:dyDescent="0.25">
      <c r="A39" t="s">
        <v>111</v>
      </c>
      <c r="B39" t="s">
        <v>101</v>
      </c>
      <c r="C39">
        <v>108.471792595466</v>
      </c>
      <c r="D39">
        <v>246</v>
      </c>
    </row>
    <row r="40" spans="1:4" x14ac:dyDescent="0.25">
      <c r="A40" t="s">
        <v>111</v>
      </c>
      <c r="B40" t="s">
        <v>106</v>
      </c>
      <c r="C40">
        <v>99.493795247262895</v>
      </c>
      <c r="D40">
        <v>247</v>
      </c>
    </row>
    <row r="41" spans="1:4" x14ac:dyDescent="0.25">
      <c r="A41" t="s">
        <v>111</v>
      </c>
      <c r="B41" t="s">
        <v>106</v>
      </c>
      <c r="C41">
        <v>95.755952301741203</v>
      </c>
      <c r="D41">
        <v>239</v>
      </c>
    </row>
    <row r="42" spans="1:4" x14ac:dyDescent="0.25">
      <c r="A42" t="s">
        <v>112</v>
      </c>
      <c r="B42" t="s">
        <v>101</v>
      </c>
      <c r="C42">
        <v>106.64351196067599</v>
      </c>
      <c r="D42">
        <v>252</v>
      </c>
    </row>
    <row r="43" spans="1:4" x14ac:dyDescent="0.25">
      <c r="A43" t="s">
        <v>112</v>
      </c>
      <c r="B43" t="s">
        <v>101</v>
      </c>
      <c r="C43">
        <v>98.852209551491597</v>
      </c>
      <c r="D43">
        <v>251</v>
      </c>
    </row>
    <row r="44" spans="1:4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4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4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4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4" x14ac:dyDescent="0.25">
      <c r="A48" t="s">
        <v>113</v>
      </c>
      <c r="B48" t="s">
        <v>106</v>
      </c>
      <c r="C48">
        <v>106.095248879312</v>
      </c>
      <c r="D48">
        <v>251</v>
      </c>
    </row>
    <row r="49" spans="1:4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4" x14ac:dyDescent="0.25">
      <c r="A50" t="s">
        <v>114</v>
      </c>
      <c r="B50" t="s">
        <v>101</v>
      </c>
      <c r="C50">
        <v>100.65363630873</v>
      </c>
      <c r="D50">
        <v>242</v>
      </c>
    </row>
    <row r="51" spans="1:4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4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4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4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4" x14ac:dyDescent="0.25">
      <c r="A55" t="s">
        <v>115</v>
      </c>
      <c r="B55" t="s">
        <v>101</v>
      </c>
      <c r="C55">
        <v>103.745049689742</v>
      </c>
      <c r="D55">
        <v>249</v>
      </c>
    </row>
    <row r="56" spans="1:4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4" x14ac:dyDescent="0.25">
      <c r="A57" t="s">
        <v>115</v>
      </c>
      <c r="B57" t="s">
        <v>106</v>
      </c>
      <c r="C57">
        <v>104.182440367005</v>
      </c>
      <c r="D57">
        <v>240</v>
      </c>
    </row>
    <row r="58" spans="1:4" x14ac:dyDescent="0.25">
      <c r="A58" t="s">
        <v>116</v>
      </c>
      <c r="B58" t="s">
        <v>101</v>
      </c>
      <c r="C58">
        <v>100.320280613403</v>
      </c>
      <c r="D58">
        <v>247</v>
      </c>
    </row>
    <row r="59" spans="1:4" x14ac:dyDescent="0.25">
      <c r="A59" t="s">
        <v>116</v>
      </c>
      <c r="B59" t="s">
        <v>101</v>
      </c>
      <c r="C59">
        <v>100.64591214593</v>
      </c>
      <c r="D59">
        <v>248</v>
      </c>
    </row>
    <row r="60" spans="1:4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4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4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4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4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281BF-6701-4925-B6EF-E2A7A0CD8970}">
  <dimension ref="A1:C61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235</v>
      </c>
      <c r="B1" t="s">
        <v>236</v>
      </c>
      <c r="C1" t="s">
        <v>192</v>
      </c>
    </row>
    <row r="2" spans="1:3" x14ac:dyDescent="0.25">
      <c r="A2" t="s">
        <v>100</v>
      </c>
      <c r="B2" t="s">
        <v>101</v>
      </c>
      <c r="C2">
        <v>242</v>
      </c>
    </row>
    <row r="3" spans="1:3" x14ac:dyDescent="0.25">
      <c r="A3" t="s">
        <v>100</v>
      </c>
      <c r="B3" t="s">
        <v>101</v>
      </c>
      <c r="C3">
        <v>246</v>
      </c>
    </row>
    <row r="4" spans="1:3" x14ac:dyDescent="0.25">
      <c r="A4" t="s">
        <v>100</v>
      </c>
      <c r="B4" t="s">
        <v>101</v>
      </c>
      <c r="C4">
        <v>245</v>
      </c>
    </row>
    <row r="5" spans="1:3" x14ac:dyDescent="0.25">
      <c r="A5" t="s">
        <v>100</v>
      </c>
      <c r="B5" t="s">
        <v>101</v>
      </c>
      <c r="C5">
        <v>246</v>
      </c>
    </row>
    <row r="6" spans="1:3" x14ac:dyDescent="0.25">
      <c r="A6" t="s">
        <v>100</v>
      </c>
      <c r="B6" t="s">
        <v>106</v>
      </c>
      <c r="C6">
        <v>243</v>
      </c>
    </row>
    <row r="7" spans="1:3" x14ac:dyDescent="0.25">
      <c r="A7" t="s">
        <v>100</v>
      </c>
      <c r="B7" t="s">
        <v>106</v>
      </c>
      <c r="C7">
        <v>242</v>
      </c>
    </row>
    <row r="8" spans="1:3" x14ac:dyDescent="0.25">
      <c r="A8" t="s">
        <v>100</v>
      </c>
      <c r="B8" t="s">
        <v>106</v>
      </c>
      <c r="C8">
        <v>238</v>
      </c>
    </row>
    <row r="9" spans="1:3" x14ac:dyDescent="0.25">
      <c r="A9" t="s">
        <v>100</v>
      </c>
      <c r="B9" t="s">
        <v>106</v>
      </c>
      <c r="C9">
        <v>238</v>
      </c>
    </row>
    <row r="10" spans="1:3" x14ac:dyDescent="0.25">
      <c r="A10" t="s">
        <v>100</v>
      </c>
      <c r="B10" t="s">
        <v>237</v>
      </c>
      <c r="C10">
        <v>247</v>
      </c>
    </row>
    <row r="11" spans="1:3" x14ac:dyDescent="0.25">
      <c r="A11" t="s">
        <v>100</v>
      </c>
      <c r="B11" t="s">
        <v>237</v>
      </c>
      <c r="C11">
        <v>239</v>
      </c>
    </row>
    <row r="12" spans="1:3" x14ac:dyDescent="0.25">
      <c r="A12" t="s">
        <v>100</v>
      </c>
      <c r="B12" t="s">
        <v>237</v>
      </c>
      <c r="C12">
        <v>241</v>
      </c>
    </row>
    <row r="13" spans="1:3" x14ac:dyDescent="0.25">
      <c r="A13" t="s">
        <v>100</v>
      </c>
      <c r="B13" t="s">
        <v>237</v>
      </c>
      <c r="C13">
        <v>240</v>
      </c>
    </row>
    <row r="14" spans="1:3" x14ac:dyDescent="0.25">
      <c r="A14" t="s">
        <v>102</v>
      </c>
      <c r="B14" t="s">
        <v>101</v>
      </c>
      <c r="C14">
        <v>249</v>
      </c>
    </row>
    <row r="15" spans="1:3" x14ac:dyDescent="0.25">
      <c r="A15" t="s">
        <v>102</v>
      </c>
      <c r="B15" t="s">
        <v>101</v>
      </c>
      <c r="C15">
        <v>241</v>
      </c>
    </row>
    <row r="16" spans="1:3" x14ac:dyDescent="0.25">
      <c r="A16" t="s">
        <v>102</v>
      </c>
      <c r="B16" t="s">
        <v>101</v>
      </c>
      <c r="C16">
        <v>250</v>
      </c>
    </row>
    <row r="17" spans="1:3" x14ac:dyDescent="0.25">
      <c r="A17" t="s">
        <v>102</v>
      </c>
      <c r="B17" t="s">
        <v>101</v>
      </c>
      <c r="C17">
        <v>245</v>
      </c>
    </row>
    <row r="18" spans="1:3" x14ac:dyDescent="0.25">
      <c r="A18" t="s">
        <v>102</v>
      </c>
      <c r="B18" t="s">
        <v>106</v>
      </c>
      <c r="C18">
        <v>246</v>
      </c>
    </row>
    <row r="19" spans="1:3" x14ac:dyDescent="0.25">
      <c r="A19" t="s">
        <v>102</v>
      </c>
      <c r="B19" t="s">
        <v>106</v>
      </c>
      <c r="C19">
        <v>242</v>
      </c>
    </row>
    <row r="20" spans="1:3" x14ac:dyDescent="0.25">
      <c r="A20" t="s">
        <v>102</v>
      </c>
      <c r="B20" t="s">
        <v>106</v>
      </c>
      <c r="C20">
        <v>243</v>
      </c>
    </row>
    <row r="21" spans="1:3" x14ac:dyDescent="0.25">
      <c r="A21" t="s">
        <v>102</v>
      </c>
      <c r="B21" t="s">
        <v>106</v>
      </c>
      <c r="C21">
        <v>240</v>
      </c>
    </row>
    <row r="22" spans="1:3" x14ac:dyDescent="0.25">
      <c r="A22" t="s">
        <v>102</v>
      </c>
      <c r="B22" t="s">
        <v>237</v>
      </c>
      <c r="C22">
        <v>244</v>
      </c>
    </row>
    <row r="23" spans="1:3" x14ac:dyDescent="0.25">
      <c r="A23" t="s">
        <v>102</v>
      </c>
      <c r="B23" t="s">
        <v>237</v>
      </c>
      <c r="C23">
        <v>245</v>
      </c>
    </row>
    <row r="24" spans="1:3" x14ac:dyDescent="0.25">
      <c r="A24" t="s">
        <v>102</v>
      </c>
      <c r="B24" t="s">
        <v>237</v>
      </c>
      <c r="C24">
        <v>251</v>
      </c>
    </row>
    <row r="25" spans="1:3" x14ac:dyDescent="0.25">
      <c r="A25" t="s">
        <v>102</v>
      </c>
      <c r="B25" t="s">
        <v>237</v>
      </c>
      <c r="C25">
        <v>247</v>
      </c>
    </row>
    <row r="26" spans="1:3" x14ac:dyDescent="0.25">
      <c r="A26" t="s">
        <v>103</v>
      </c>
      <c r="B26" t="s">
        <v>101</v>
      </c>
      <c r="C26">
        <v>241</v>
      </c>
    </row>
    <row r="27" spans="1:3" x14ac:dyDescent="0.25">
      <c r="A27" t="s">
        <v>103</v>
      </c>
      <c r="B27" t="s">
        <v>101</v>
      </c>
      <c r="C27">
        <v>246</v>
      </c>
    </row>
    <row r="28" spans="1:3" x14ac:dyDescent="0.25">
      <c r="A28" t="s">
        <v>103</v>
      </c>
      <c r="B28" t="s">
        <v>101</v>
      </c>
      <c r="C28">
        <v>245</v>
      </c>
    </row>
    <row r="29" spans="1:3" x14ac:dyDescent="0.25">
      <c r="A29" t="s">
        <v>103</v>
      </c>
      <c r="B29" t="s">
        <v>101</v>
      </c>
      <c r="C29">
        <v>247</v>
      </c>
    </row>
    <row r="30" spans="1:3" x14ac:dyDescent="0.25">
      <c r="A30" t="s">
        <v>103</v>
      </c>
      <c r="B30" t="s">
        <v>106</v>
      </c>
      <c r="C30">
        <v>245</v>
      </c>
    </row>
    <row r="31" spans="1:3" x14ac:dyDescent="0.25">
      <c r="A31" t="s">
        <v>103</v>
      </c>
      <c r="B31" t="s">
        <v>106</v>
      </c>
      <c r="C31">
        <v>245</v>
      </c>
    </row>
    <row r="32" spans="1:3" x14ac:dyDescent="0.25">
      <c r="A32" t="s">
        <v>103</v>
      </c>
      <c r="B32" t="s">
        <v>106</v>
      </c>
      <c r="C32">
        <v>243</v>
      </c>
    </row>
    <row r="33" spans="1:3" x14ac:dyDescent="0.25">
      <c r="A33" t="s">
        <v>103</v>
      </c>
      <c r="B33" t="s">
        <v>106</v>
      </c>
      <c r="C33">
        <v>245</v>
      </c>
    </row>
    <row r="34" spans="1:3" x14ac:dyDescent="0.25">
      <c r="A34" t="s">
        <v>103</v>
      </c>
      <c r="B34" t="s">
        <v>237</v>
      </c>
      <c r="C34">
        <v>243</v>
      </c>
    </row>
    <row r="35" spans="1:3" x14ac:dyDescent="0.25">
      <c r="A35" t="s">
        <v>103</v>
      </c>
      <c r="B35" t="s">
        <v>237</v>
      </c>
      <c r="C35">
        <v>239</v>
      </c>
    </row>
    <row r="36" spans="1:3" x14ac:dyDescent="0.25">
      <c r="A36" t="s">
        <v>103</v>
      </c>
      <c r="B36" t="s">
        <v>237</v>
      </c>
      <c r="C36">
        <v>244</v>
      </c>
    </row>
    <row r="37" spans="1:3" x14ac:dyDescent="0.25">
      <c r="A37" t="s">
        <v>103</v>
      </c>
      <c r="B37" t="s">
        <v>237</v>
      </c>
      <c r="C37">
        <v>245</v>
      </c>
    </row>
    <row r="38" spans="1:3" x14ac:dyDescent="0.25">
      <c r="A38" t="s">
        <v>104</v>
      </c>
      <c r="B38" t="s">
        <v>101</v>
      </c>
      <c r="C38">
        <v>244</v>
      </c>
    </row>
    <row r="39" spans="1:3" x14ac:dyDescent="0.25">
      <c r="A39" t="s">
        <v>104</v>
      </c>
      <c r="B39" t="s">
        <v>101</v>
      </c>
      <c r="C39">
        <v>246</v>
      </c>
    </row>
    <row r="40" spans="1:3" x14ac:dyDescent="0.25">
      <c r="A40" t="s">
        <v>104</v>
      </c>
      <c r="B40" t="s">
        <v>101</v>
      </c>
      <c r="C40">
        <v>247</v>
      </c>
    </row>
    <row r="41" spans="1:3" x14ac:dyDescent="0.25">
      <c r="A41" t="s">
        <v>104</v>
      </c>
      <c r="B41" t="s">
        <v>101</v>
      </c>
      <c r="C41">
        <v>239</v>
      </c>
    </row>
    <row r="42" spans="1:3" x14ac:dyDescent="0.25">
      <c r="A42" t="s">
        <v>104</v>
      </c>
      <c r="B42" t="s">
        <v>106</v>
      </c>
      <c r="C42">
        <v>252</v>
      </c>
    </row>
    <row r="43" spans="1:3" x14ac:dyDescent="0.25">
      <c r="A43" t="s">
        <v>104</v>
      </c>
      <c r="B43" t="s">
        <v>106</v>
      </c>
      <c r="C43">
        <v>251</v>
      </c>
    </row>
    <row r="44" spans="1:3" x14ac:dyDescent="0.25">
      <c r="A44" t="s">
        <v>104</v>
      </c>
      <c r="B44" t="s">
        <v>106</v>
      </c>
      <c r="C44">
        <v>247</v>
      </c>
    </row>
    <row r="45" spans="1:3" x14ac:dyDescent="0.25">
      <c r="A45" t="s">
        <v>104</v>
      </c>
      <c r="B45" t="s">
        <v>106</v>
      </c>
      <c r="C45">
        <v>241</v>
      </c>
    </row>
    <row r="46" spans="1:3" x14ac:dyDescent="0.25">
      <c r="A46" t="s">
        <v>104</v>
      </c>
      <c r="B46" t="s">
        <v>237</v>
      </c>
      <c r="C46">
        <v>249</v>
      </c>
    </row>
    <row r="47" spans="1:3" x14ac:dyDescent="0.25">
      <c r="A47" t="s">
        <v>104</v>
      </c>
      <c r="B47" t="s">
        <v>237</v>
      </c>
      <c r="C47">
        <v>248</v>
      </c>
    </row>
    <row r="48" spans="1:3" x14ac:dyDescent="0.25">
      <c r="A48" t="s">
        <v>104</v>
      </c>
      <c r="B48" t="s">
        <v>237</v>
      </c>
      <c r="C48">
        <v>251</v>
      </c>
    </row>
    <row r="49" spans="1:3" x14ac:dyDescent="0.25">
      <c r="A49" t="s">
        <v>104</v>
      </c>
      <c r="B49" t="s">
        <v>237</v>
      </c>
      <c r="C49">
        <v>246</v>
      </c>
    </row>
    <row r="50" spans="1:3" x14ac:dyDescent="0.25">
      <c r="A50" t="s">
        <v>105</v>
      </c>
      <c r="B50" t="s">
        <v>101</v>
      </c>
      <c r="C50">
        <v>242</v>
      </c>
    </row>
    <row r="51" spans="1:3" x14ac:dyDescent="0.25">
      <c r="A51" t="s">
        <v>105</v>
      </c>
      <c r="B51" t="s">
        <v>101</v>
      </c>
      <c r="C51">
        <v>240</v>
      </c>
    </row>
    <row r="52" spans="1:3" x14ac:dyDescent="0.25">
      <c r="A52" t="s">
        <v>105</v>
      </c>
      <c r="B52" t="s">
        <v>101</v>
      </c>
      <c r="C52">
        <v>251</v>
      </c>
    </row>
    <row r="53" spans="1:3" x14ac:dyDescent="0.25">
      <c r="A53" t="s">
        <v>105</v>
      </c>
      <c r="B53" t="s">
        <v>101</v>
      </c>
      <c r="C53">
        <v>245</v>
      </c>
    </row>
    <row r="54" spans="1:3" x14ac:dyDescent="0.25">
      <c r="A54" t="s">
        <v>105</v>
      </c>
      <c r="B54" t="s">
        <v>106</v>
      </c>
      <c r="C54">
        <v>246</v>
      </c>
    </row>
    <row r="55" spans="1:3" x14ac:dyDescent="0.25">
      <c r="A55" t="s">
        <v>105</v>
      </c>
      <c r="B55" t="s">
        <v>106</v>
      </c>
      <c r="C55">
        <v>249</v>
      </c>
    </row>
    <row r="56" spans="1:3" x14ac:dyDescent="0.25">
      <c r="A56" t="s">
        <v>105</v>
      </c>
      <c r="B56" t="s">
        <v>106</v>
      </c>
      <c r="C56">
        <v>248</v>
      </c>
    </row>
    <row r="57" spans="1:3" x14ac:dyDescent="0.25">
      <c r="A57" t="s">
        <v>105</v>
      </c>
      <c r="B57" t="s">
        <v>106</v>
      </c>
      <c r="C57">
        <v>240</v>
      </c>
    </row>
    <row r="58" spans="1:3" x14ac:dyDescent="0.25">
      <c r="A58" t="s">
        <v>105</v>
      </c>
      <c r="B58" t="s">
        <v>237</v>
      </c>
      <c r="C58">
        <v>247</v>
      </c>
    </row>
    <row r="59" spans="1:3" x14ac:dyDescent="0.25">
      <c r="A59" t="s">
        <v>105</v>
      </c>
      <c r="B59" t="s">
        <v>237</v>
      </c>
      <c r="C59">
        <v>248</v>
      </c>
    </row>
    <row r="60" spans="1:3" x14ac:dyDescent="0.25">
      <c r="A60" t="s">
        <v>105</v>
      </c>
      <c r="B60" t="s">
        <v>237</v>
      </c>
      <c r="C60">
        <v>245</v>
      </c>
    </row>
    <row r="61" spans="1:3" x14ac:dyDescent="0.25">
      <c r="A61" t="s">
        <v>105</v>
      </c>
      <c r="B61" t="s">
        <v>237</v>
      </c>
      <c r="C61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DB1E-90F5-41A1-9050-B5755A158186}">
  <dimension ref="A1:BC518"/>
  <sheetViews>
    <sheetView topLeftCell="A55" zoomScale="80" zoomScaleNormal="80" workbookViewId="0">
      <selection activeCell="G316" sqref="G316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63" t="s">
        <v>262</v>
      </c>
      <c r="C4" s="263"/>
      <c r="D4" s="263"/>
      <c r="E4" s="263"/>
      <c r="G4" s="79" t="s">
        <v>548</v>
      </c>
      <c r="H4" s="80"/>
      <c r="J4" s="81">
        <v>10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40" t="s">
        <v>265</v>
      </c>
      <c r="C6" s="242"/>
      <c r="D6" s="84"/>
      <c r="E6" s="84"/>
      <c r="G6" s="8"/>
      <c r="H6" s="80"/>
      <c r="J6" s="85">
        <v>0.1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264" t="s">
        <v>268</v>
      </c>
      <c r="C8" s="264"/>
      <c r="D8" s="264"/>
      <c r="E8" s="264"/>
      <c r="F8" s="264"/>
      <c r="G8" s="264"/>
      <c r="H8" s="264"/>
      <c r="J8" s="81">
        <v>100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264" t="s">
        <v>270</v>
      </c>
      <c r="C10" s="264"/>
      <c r="D10" s="264"/>
      <c r="E10" s="264"/>
      <c r="F10" s="264"/>
      <c r="G10" s="264"/>
      <c r="H10" s="264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65"/>
      <c r="C12" s="266"/>
      <c r="D12" s="266"/>
      <c r="E12" s="267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268" t="s">
        <v>273</v>
      </c>
      <c r="C14" s="268"/>
      <c r="D14" s="268"/>
      <c r="E14" s="268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40"/>
      <c r="C16" s="241"/>
      <c r="D16" s="241"/>
      <c r="E16" s="242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243"/>
      <c r="C19" s="244"/>
      <c r="D19" s="244"/>
      <c r="E19" s="244"/>
      <c r="F19" s="244"/>
      <c r="G19" s="244"/>
      <c r="H19" s="244"/>
      <c r="I19" s="244"/>
      <c r="J19" s="245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246"/>
      <c r="C20" s="247"/>
      <c r="D20" s="247"/>
      <c r="E20" s="247"/>
      <c r="F20" s="247"/>
      <c r="G20" s="247"/>
      <c r="H20" s="247"/>
      <c r="I20" s="247"/>
      <c r="J20" s="248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246"/>
      <c r="C21" s="247"/>
      <c r="D21" s="247"/>
      <c r="E21" s="247"/>
      <c r="F21" s="247"/>
      <c r="G21" s="247"/>
      <c r="H21" s="247"/>
      <c r="I21" s="247"/>
      <c r="J21" s="248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246"/>
      <c r="C22" s="247"/>
      <c r="D22" s="247"/>
      <c r="E22" s="247"/>
      <c r="F22" s="247"/>
      <c r="G22" s="247"/>
      <c r="H22" s="247"/>
      <c r="I22" s="247"/>
      <c r="J22" s="248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246"/>
      <c r="C23" s="247"/>
      <c r="D23" s="247"/>
      <c r="E23" s="247"/>
      <c r="F23" s="247"/>
      <c r="G23" s="247"/>
      <c r="H23" s="247"/>
      <c r="I23" s="247"/>
      <c r="J23" s="248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246"/>
      <c r="C24" s="247"/>
      <c r="D24" s="247"/>
      <c r="E24" s="247"/>
      <c r="F24" s="247"/>
      <c r="G24" s="247"/>
      <c r="H24" s="247"/>
      <c r="I24" s="247"/>
      <c r="J24" s="248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249"/>
      <c r="C25" s="250"/>
      <c r="D25" s="250"/>
      <c r="E25" s="250"/>
      <c r="F25" s="250"/>
      <c r="G25" s="250"/>
      <c r="H25" s="250"/>
      <c r="I25" s="250"/>
      <c r="J25" s="251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252"/>
      <c r="C28" s="253"/>
      <c r="D28" s="253"/>
      <c r="E28" s="253"/>
      <c r="F28" s="253"/>
      <c r="G28" s="253"/>
      <c r="H28" s="253"/>
      <c r="I28" s="253"/>
      <c r="J28" s="254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255"/>
      <c r="C29" s="256"/>
      <c r="D29" s="256"/>
      <c r="E29" s="256"/>
      <c r="F29" s="256"/>
      <c r="G29" s="256"/>
      <c r="H29" s="256"/>
      <c r="I29" s="256"/>
      <c r="J29" s="257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258"/>
      <c r="C30" s="259"/>
      <c r="D30" s="259"/>
      <c r="E30" s="259"/>
      <c r="F30" s="259"/>
      <c r="G30" s="259"/>
      <c r="H30" s="259"/>
      <c r="I30" s="259"/>
      <c r="J30" s="260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40"/>
      <c r="C33" s="241"/>
      <c r="D33" s="241"/>
      <c r="E33" s="242"/>
      <c r="F33" s="100"/>
      <c r="G33" s="100"/>
      <c r="I33" s="261"/>
      <c r="J33" s="262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261"/>
      <c r="C36" s="262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65"/>
      <c r="C41" s="266"/>
      <c r="D41" s="266"/>
      <c r="E41" s="266"/>
      <c r="F41" s="266"/>
      <c r="G41" s="266"/>
      <c r="H41" s="267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65"/>
      <c r="C43" s="266"/>
      <c r="D43" s="266"/>
      <c r="E43" s="266"/>
      <c r="F43" s="266"/>
      <c r="G43" s="266"/>
      <c r="H43" s="267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65"/>
      <c r="C45" s="266"/>
      <c r="D45" s="266"/>
      <c r="E45" s="267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74" t="s">
        <v>0</v>
      </c>
      <c r="E54" s="274"/>
      <c r="F54" s="274"/>
      <c r="G54" s="274" t="s">
        <v>1</v>
      </c>
      <c r="H54" s="274"/>
      <c r="I54" s="274"/>
    </row>
    <row r="55" spans="2:55" ht="18" customHeight="1" x14ac:dyDescent="0.25">
      <c r="B55" s="269" t="s">
        <v>287</v>
      </c>
      <c r="C55" s="270"/>
      <c r="D55" s="271"/>
      <c r="E55" s="271"/>
      <c r="F55" s="271"/>
      <c r="G55" s="271"/>
      <c r="H55" s="271"/>
      <c r="I55" s="271"/>
    </row>
    <row r="56" spans="2:55" ht="18" customHeight="1" x14ac:dyDescent="0.25">
      <c r="B56" s="269" t="s">
        <v>288</v>
      </c>
      <c r="C56" s="270"/>
      <c r="D56" s="271"/>
      <c r="E56" s="271"/>
      <c r="F56" s="271"/>
      <c r="G56" s="271"/>
      <c r="H56" s="271"/>
      <c r="I56" s="27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72" t="s">
        <v>0</v>
      </c>
      <c r="E59" s="272"/>
      <c r="F59" s="272"/>
      <c r="G59" s="272" t="s">
        <v>1</v>
      </c>
      <c r="H59" s="272"/>
      <c r="I59" s="27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73" t="s">
        <v>2</v>
      </c>
      <c r="C60" s="273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78" t="s">
        <v>291</v>
      </c>
      <c r="L60" s="279"/>
      <c r="M60" s="280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275">
        <v>1000</v>
      </c>
      <c r="C61" s="276"/>
      <c r="D61" s="9"/>
      <c r="E61" s="129">
        <v>10583</v>
      </c>
      <c r="F61" s="129">
        <v>10172</v>
      </c>
      <c r="G61" s="9" t="s">
        <v>298</v>
      </c>
      <c r="H61" s="129">
        <v>10737</v>
      </c>
      <c r="I61" s="9">
        <v>10746</v>
      </c>
      <c r="J61" s="130" t="s">
        <v>299</v>
      </c>
      <c r="K61" s="277"/>
      <c r="L61" s="277"/>
      <c r="M61" s="277"/>
      <c r="O61" s="131">
        <f t="shared" ref="O61:O124" si="0">IF($J61="INCLUDE",E61,"")</f>
        <v>10583</v>
      </c>
      <c r="P61" s="132">
        <f t="shared" ref="P61:P124" si="1">IF(AND($J61="INCLUDE",ISNUMBER(F61)),F61,"")</f>
        <v>10172</v>
      </c>
      <c r="Q61" s="132">
        <f t="shared" ref="Q61:Q124" si="2">IF($J61="INCLUDE",AVERAGE(O61:P61),"")</f>
        <v>10377.5</v>
      </c>
      <c r="R61" s="132">
        <f t="shared" ref="R61:R124" si="3">IF($J61="INCLUDE",H61,"")</f>
        <v>10737</v>
      </c>
      <c r="S61" s="132">
        <f t="shared" ref="S61:S124" si="4">IF(AND($J61="INCLUDE",ISNUMBER(I61)),I61,"")</f>
        <v>10746</v>
      </c>
      <c r="T61" s="132">
        <f t="shared" ref="T61:T124" si="5">IF($J61="INCLUDE",AVERAGE(R61:S61),"")</f>
        <v>10741.5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275">
        <v>1001</v>
      </c>
      <c r="C62" s="276"/>
      <c r="D62" s="9"/>
      <c r="E62" s="129">
        <v>3879</v>
      </c>
      <c r="F62" s="9">
        <v>4233</v>
      </c>
      <c r="G62" s="9" t="s">
        <v>298</v>
      </c>
      <c r="H62" s="9">
        <v>3934</v>
      </c>
      <c r="I62" s="9">
        <v>3763</v>
      </c>
      <c r="J62" s="130" t="s">
        <v>299</v>
      </c>
      <c r="K62" s="277"/>
      <c r="L62" s="277"/>
      <c r="M62" s="277"/>
      <c r="O62" s="131">
        <f t="shared" si="0"/>
        <v>3879</v>
      </c>
      <c r="P62" s="132">
        <f t="shared" si="1"/>
        <v>4233</v>
      </c>
      <c r="Q62" s="132">
        <f t="shared" si="2"/>
        <v>4056</v>
      </c>
      <c r="R62" s="132">
        <f t="shared" si="3"/>
        <v>3934</v>
      </c>
      <c r="S62" s="132">
        <f t="shared" si="4"/>
        <v>3763</v>
      </c>
      <c r="T62" s="132">
        <f t="shared" si="5"/>
        <v>3848.5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275">
        <v>1002</v>
      </c>
      <c r="C63" s="276"/>
      <c r="D63" s="9"/>
      <c r="E63" s="129">
        <v>2674</v>
      </c>
      <c r="F63" s="9">
        <v>2634</v>
      </c>
      <c r="G63" s="9" t="s">
        <v>298</v>
      </c>
      <c r="H63" s="9">
        <v>2679</v>
      </c>
      <c r="I63" s="9">
        <v>2632</v>
      </c>
      <c r="J63" s="130" t="s">
        <v>299</v>
      </c>
      <c r="K63" s="277"/>
      <c r="L63" s="277"/>
      <c r="M63" s="277"/>
      <c r="O63" s="131">
        <f t="shared" si="0"/>
        <v>2674</v>
      </c>
      <c r="P63" s="132">
        <f t="shared" si="1"/>
        <v>2634</v>
      </c>
      <c r="Q63" s="132">
        <f t="shared" si="2"/>
        <v>2654</v>
      </c>
      <c r="R63" s="132">
        <f t="shared" si="3"/>
        <v>2679</v>
      </c>
      <c r="S63" s="132">
        <f t="shared" si="4"/>
        <v>2632</v>
      </c>
      <c r="T63" s="132">
        <f t="shared" si="5"/>
        <v>2655.5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275">
        <v>1003</v>
      </c>
      <c r="C64" s="276"/>
      <c r="D64" s="9"/>
      <c r="E64" s="129">
        <v>4865</v>
      </c>
      <c r="F64" s="129">
        <v>4629</v>
      </c>
      <c r="G64" s="9" t="s">
        <v>298</v>
      </c>
      <c r="H64" s="129">
        <v>4932</v>
      </c>
      <c r="I64" s="9">
        <v>5449</v>
      </c>
      <c r="J64" s="130" t="s">
        <v>299</v>
      </c>
      <c r="K64" s="277"/>
      <c r="L64" s="277"/>
      <c r="M64" s="277"/>
      <c r="O64" s="131">
        <f t="shared" si="0"/>
        <v>4865</v>
      </c>
      <c r="P64" s="132">
        <f t="shared" si="1"/>
        <v>4629</v>
      </c>
      <c r="Q64" s="132">
        <f t="shared" si="2"/>
        <v>4747</v>
      </c>
      <c r="R64" s="132">
        <f t="shared" si="3"/>
        <v>4932</v>
      </c>
      <c r="S64" s="132">
        <f t="shared" si="4"/>
        <v>5449</v>
      </c>
      <c r="T64" s="132">
        <f t="shared" si="5"/>
        <v>5190.5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275">
        <v>1004</v>
      </c>
      <c r="C65" s="276"/>
      <c r="D65" s="9"/>
      <c r="E65" s="129">
        <v>1471</v>
      </c>
      <c r="F65" s="9">
        <v>1448</v>
      </c>
      <c r="G65" s="9" t="s">
        <v>298</v>
      </c>
      <c r="H65" s="9">
        <v>1546</v>
      </c>
      <c r="I65" s="9">
        <v>1563</v>
      </c>
      <c r="J65" s="130" t="s">
        <v>299</v>
      </c>
      <c r="K65" s="277"/>
      <c r="L65" s="277"/>
      <c r="M65" s="277"/>
      <c r="O65" s="131">
        <f t="shared" si="0"/>
        <v>1471</v>
      </c>
      <c r="P65" s="132">
        <f t="shared" si="1"/>
        <v>1448</v>
      </c>
      <c r="Q65" s="132">
        <f t="shared" si="2"/>
        <v>1459.5</v>
      </c>
      <c r="R65" s="132">
        <f t="shared" si="3"/>
        <v>1546</v>
      </c>
      <c r="S65" s="132">
        <f t="shared" si="4"/>
        <v>1563</v>
      </c>
      <c r="T65" s="132">
        <f t="shared" si="5"/>
        <v>1554.5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275">
        <v>1005</v>
      </c>
      <c r="C66" s="276"/>
      <c r="D66" s="9"/>
      <c r="E66" s="129">
        <v>6018</v>
      </c>
      <c r="F66" s="9">
        <v>5742</v>
      </c>
      <c r="G66" s="9" t="s">
        <v>298</v>
      </c>
      <c r="H66" s="9">
        <v>5985</v>
      </c>
      <c r="I66" s="9">
        <v>6065</v>
      </c>
      <c r="J66" s="130" t="s">
        <v>299</v>
      </c>
      <c r="K66" s="277"/>
      <c r="L66" s="277"/>
      <c r="M66" s="277"/>
      <c r="O66" s="131">
        <f t="shared" si="0"/>
        <v>6018</v>
      </c>
      <c r="P66" s="132">
        <f t="shared" si="1"/>
        <v>5742</v>
      </c>
      <c r="Q66" s="132">
        <f t="shared" si="2"/>
        <v>5880</v>
      </c>
      <c r="R66" s="132">
        <f t="shared" si="3"/>
        <v>5985</v>
      </c>
      <c r="S66" s="132">
        <f t="shared" si="4"/>
        <v>6065</v>
      </c>
      <c r="T66" s="132">
        <f t="shared" si="5"/>
        <v>6025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275">
        <v>1006</v>
      </c>
      <c r="C67" s="276"/>
      <c r="D67" s="9"/>
      <c r="E67" s="129">
        <v>3891</v>
      </c>
      <c r="F67" s="129">
        <v>3851</v>
      </c>
      <c r="G67" s="9" t="s">
        <v>298</v>
      </c>
      <c r="H67" s="129">
        <v>3922</v>
      </c>
      <c r="I67" s="9">
        <v>3801</v>
      </c>
      <c r="J67" s="130" t="s">
        <v>299</v>
      </c>
      <c r="K67" s="277"/>
      <c r="L67" s="277"/>
      <c r="M67" s="277"/>
      <c r="O67" s="131">
        <f t="shared" si="0"/>
        <v>3891</v>
      </c>
      <c r="P67" s="132">
        <f t="shared" si="1"/>
        <v>3851</v>
      </c>
      <c r="Q67" s="132">
        <f t="shared" si="2"/>
        <v>3871</v>
      </c>
      <c r="R67" s="132">
        <f t="shared" si="3"/>
        <v>3922</v>
      </c>
      <c r="S67" s="132">
        <f t="shared" si="4"/>
        <v>3801</v>
      </c>
      <c r="T67" s="132">
        <f t="shared" si="5"/>
        <v>3861.5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275">
        <v>1007</v>
      </c>
      <c r="C68" s="276"/>
      <c r="D68" s="9"/>
      <c r="E68" s="129">
        <v>2519</v>
      </c>
      <c r="F68" s="129">
        <v>2403</v>
      </c>
      <c r="G68" s="9" t="s">
        <v>298</v>
      </c>
      <c r="H68" s="129">
        <v>2593</v>
      </c>
      <c r="I68" s="9">
        <v>2474</v>
      </c>
      <c r="J68" s="130" t="s">
        <v>299</v>
      </c>
      <c r="K68" s="277"/>
      <c r="L68" s="277"/>
      <c r="M68" s="277"/>
      <c r="O68" s="131">
        <f t="shared" si="0"/>
        <v>2519</v>
      </c>
      <c r="P68" s="132">
        <f t="shared" si="1"/>
        <v>2403</v>
      </c>
      <c r="Q68" s="132">
        <f t="shared" si="2"/>
        <v>2461</v>
      </c>
      <c r="R68" s="132">
        <f t="shared" si="3"/>
        <v>2593</v>
      </c>
      <c r="S68" s="132">
        <f t="shared" si="4"/>
        <v>2474</v>
      </c>
      <c r="T68" s="132">
        <f t="shared" si="5"/>
        <v>2533.5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275">
        <v>1008</v>
      </c>
      <c r="C69" s="276"/>
      <c r="D69" s="9"/>
      <c r="E69" s="129">
        <v>1867</v>
      </c>
      <c r="F69" s="9">
        <v>1737</v>
      </c>
      <c r="G69" s="9" t="s">
        <v>298</v>
      </c>
      <c r="H69" s="9">
        <v>1880</v>
      </c>
      <c r="I69" s="9">
        <v>1836</v>
      </c>
      <c r="J69" s="130" t="s">
        <v>299</v>
      </c>
      <c r="K69" s="277"/>
      <c r="L69" s="277"/>
      <c r="M69" s="277"/>
      <c r="O69" s="131">
        <f t="shared" si="0"/>
        <v>1867</v>
      </c>
      <c r="P69" s="132">
        <f t="shared" si="1"/>
        <v>1737</v>
      </c>
      <c r="Q69" s="132">
        <f t="shared" si="2"/>
        <v>1802</v>
      </c>
      <c r="R69" s="132">
        <f t="shared" si="3"/>
        <v>1880</v>
      </c>
      <c r="S69" s="132">
        <f t="shared" si="4"/>
        <v>1836</v>
      </c>
      <c r="T69" s="132">
        <f t="shared" si="5"/>
        <v>1858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275">
        <v>1009</v>
      </c>
      <c r="C70" s="276"/>
      <c r="D70" s="9"/>
      <c r="E70" s="129">
        <v>1565</v>
      </c>
      <c r="F70" s="129">
        <v>1650</v>
      </c>
      <c r="G70" s="9" t="s">
        <v>298</v>
      </c>
      <c r="H70" s="129">
        <v>1622</v>
      </c>
      <c r="I70" s="9">
        <v>1650</v>
      </c>
      <c r="J70" s="130" t="s">
        <v>299</v>
      </c>
      <c r="K70" s="277"/>
      <c r="L70" s="277"/>
      <c r="M70" s="277"/>
      <c r="O70" s="131">
        <f t="shared" si="0"/>
        <v>1565</v>
      </c>
      <c r="P70" s="132">
        <f t="shared" si="1"/>
        <v>1650</v>
      </c>
      <c r="Q70" s="132">
        <f t="shared" si="2"/>
        <v>1607.5</v>
      </c>
      <c r="R70" s="132">
        <f t="shared" si="3"/>
        <v>1622</v>
      </c>
      <c r="S70" s="132">
        <f t="shared" si="4"/>
        <v>1650</v>
      </c>
      <c r="T70" s="132">
        <f t="shared" si="5"/>
        <v>1636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275">
        <v>1010</v>
      </c>
      <c r="C71" s="276"/>
      <c r="D71" s="9"/>
      <c r="E71" s="129">
        <v>4267</v>
      </c>
      <c r="F71" s="129">
        <v>4391</v>
      </c>
      <c r="G71" s="9" t="s">
        <v>298</v>
      </c>
      <c r="H71" s="129">
        <v>4282</v>
      </c>
      <c r="I71" s="9">
        <v>4401</v>
      </c>
      <c r="J71" s="130" t="s">
        <v>299</v>
      </c>
      <c r="K71" s="277"/>
      <c r="L71" s="277"/>
      <c r="M71" s="277"/>
      <c r="O71" s="131">
        <f t="shared" si="0"/>
        <v>4267</v>
      </c>
      <c r="P71" s="132">
        <f t="shared" si="1"/>
        <v>4391</v>
      </c>
      <c r="Q71" s="132">
        <f t="shared" si="2"/>
        <v>4329</v>
      </c>
      <c r="R71" s="132">
        <f t="shared" si="3"/>
        <v>4282</v>
      </c>
      <c r="S71" s="132">
        <f t="shared" si="4"/>
        <v>4401</v>
      </c>
      <c r="T71" s="132">
        <f t="shared" si="5"/>
        <v>4341.5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275">
        <v>1011</v>
      </c>
      <c r="C72" s="276"/>
      <c r="D72" s="9"/>
      <c r="E72" s="129">
        <v>7862</v>
      </c>
      <c r="F72" s="129">
        <v>7961</v>
      </c>
      <c r="G72" s="9" t="s">
        <v>298</v>
      </c>
      <c r="H72" s="129">
        <v>8076</v>
      </c>
      <c r="I72" s="9">
        <v>8294</v>
      </c>
      <c r="J72" s="130" t="s">
        <v>299</v>
      </c>
      <c r="K72" s="277"/>
      <c r="L72" s="277"/>
      <c r="M72" s="277"/>
      <c r="O72" s="131">
        <f t="shared" si="0"/>
        <v>7862</v>
      </c>
      <c r="P72" s="132">
        <f t="shared" si="1"/>
        <v>7961</v>
      </c>
      <c r="Q72" s="132">
        <f t="shared" si="2"/>
        <v>7911.5</v>
      </c>
      <c r="R72" s="132">
        <f t="shared" si="3"/>
        <v>8076</v>
      </c>
      <c r="S72" s="132">
        <f t="shared" si="4"/>
        <v>8294</v>
      </c>
      <c r="T72" s="132">
        <f t="shared" si="5"/>
        <v>8185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275">
        <v>1012</v>
      </c>
      <c r="C73" s="276"/>
      <c r="D73" s="9"/>
      <c r="E73" s="129">
        <v>1831</v>
      </c>
      <c r="F73" s="129">
        <v>1766</v>
      </c>
      <c r="G73" s="9" t="s">
        <v>298</v>
      </c>
      <c r="H73" s="129">
        <v>1813</v>
      </c>
      <c r="I73" s="9">
        <v>1694</v>
      </c>
      <c r="J73" s="130" t="s">
        <v>299</v>
      </c>
      <c r="K73" s="277"/>
      <c r="L73" s="277"/>
      <c r="M73" s="277"/>
      <c r="O73" s="131">
        <f t="shared" si="0"/>
        <v>1831</v>
      </c>
      <c r="P73" s="132">
        <f t="shared" si="1"/>
        <v>1766</v>
      </c>
      <c r="Q73" s="132">
        <f t="shared" si="2"/>
        <v>1798.5</v>
      </c>
      <c r="R73" s="132">
        <f t="shared" si="3"/>
        <v>1813</v>
      </c>
      <c r="S73" s="132">
        <f t="shared" si="4"/>
        <v>1694</v>
      </c>
      <c r="T73" s="132">
        <f t="shared" si="5"/>
        <v>1753.5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275">
        <v>1013</v>
      </c>
      <c r="C74" s="276"/>
      <c r="D74" s="9"/>
      <c r="E74" s="129">
        <v>6651</v>
      </c>
      <c r="F74" s="9">
        <v>6357</v>
      </c>
      <c r="G74" s="9" t="s">
        <v>298</v>
      </c>
      <c r="H74" s="9">
        <v>6805</v>
      </c>
      <c r="I74" s="9">
        <v>6781</v>
      </c>
      <c r="J74" s="130" t="s">
        <v>299</v>
      </c>
      <c r="K74" s="277"/>
      <c r="L74" s="277"/>
      <c r="M74" s="277"/>
      <c r="O74" s="131">
        <f t="shared" si="0"/>
        <v>6651</v>
      </c>
      <c r="P74" s="132">
        <f t="shared" si="1"/>
        <v>6357</v>
      </c>
      <c r="Q74" s="132">
        <f t="shared" si="2"/>
        <v>6504</v>
      </c>
      <c r="R74" s="132">
        <f t="shared" si="3"/>
        <v>6805</v>
      </c>
      <c r="S74" s="132">
        <f t="shared" si="4"/>
        <v>6781</v>
      </c>
      <c r="T74" s="132">
        <f t="shared" si="5"/>
        <v>6793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275">
        <v>1014</v>
      </c>
      <c r="C75" s="276"/>
      <c r="D75" s="9"/>
      <c r="E75" s="133">
        <v>9130</v>
      </c>
      <c r="F75" s="129">
        <v>9883</v>
      </c>
      <c r="G75" s="9" t="s">
        <v>298</v>
      </c>
      <c r="H75" s="129">
        <v>9275</v>
      </c>
      <c r="I75" s="9">
        <v>8837</v>
      </c>
      <c r="J75" s="130" t="s">
        <v>299</v>
      </c>
      <c r="K75" s="277"/>
      <c r="L75" s="277"/>
      <c r="M75" s="277"/>
      <c r="O75" s="131">
        <f t="shared" si="0"/>
        <v>9130</v>
      </c>
      <c r="P75" s="132">
        <f t="shared" si="1"/>
        <v>9883</v>
      </c>
      <c r="Q75" s="132">
        <f t="shared" si="2"/>
        <v>9506.5</v>
      </c>
      <c r="R75" s="132">
        <f t="shared" si="3"/>
        <v>9275</v>
      </c>
      <c r="S75" s="132">
        <f t="shared" si="4"/>
        <v>8837</v>
      </c>
      <c r="T75" s="132">
        <f t="shared" si="5"/>
        <v>9056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275">
        <v>1015</v>
      </c>
      <c r="C76" s="276"/>
      <c r="D76" s="9"/>
      <c r="E76" s="133">
        <v>4837</v>
      </c>
      <c r="F76" s="129">
        <v>4725</v>
      </c>
      <c r="G76" s="9" t="s">
        <v>298</v>
      </c>
      <c r="H76" s="129">
        <v>4877</v>
      </c>
      <c r="I76" s="9">
        <v>4572</v>
      </c>
      <c r="J76" s="130" t="s">
        <v>299</v>
      </c>
      <c r="K76" s="277"/>
      <c r="L76" s="277"/>
      <c r="M76" s="277"/>
      <c r="O76" s="131">
        <f t="shared" si="0"/>
        <v>4837</v>
      </c>
      <c r="P76" s="132">
        <f t="shared" si="1"/>
        <v>4725</v>
      </c>
      <c r="Q76" s="132">
        <f t="shared" si="2"/>
        <v>4781</v>
      </c>
      <c r="R76" s="132">
        <f t="shared" si="3"/>
        <v>4877</v>
      </c>
      <c r="S76" s="132">
        <f t="shared" si="4"/>
        <v>4572</v>
      </c>
      <c r="T76" s="132">
        <f t="shared" si="5"/>
        <v>4724.5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275">
        <v>1016</v>
      </c>
      <c r="C77" s="276"/>
      <c r="D77" s="9"/>
      <c r="E77" s="133">
        <v>2059</v>
      </c>
      <c r="F77" s="9">
        <v>2185</v>
      </c>
      <c r="G77" s="9" t="s">
        <v>298</v>
      </c>
      <c r="H77" s="9">
        <v>2146</v>
      </c>
      <c r="I77" s="9">
        <v>2121</v>
      </c>
      <c r="J77" s="130" t="s">
        <v>299</v>
      </c>
      <c r="K77" s="277"/>
      <c r="L77" s="277"/>
      <c r="M77" s="277"/>
      <c r="O77" s="131">
        <f t="shared" si="0"/>
        <v>2059</v>
      </c>
      <c r="P77" s="132">
        <f t="shared" si="1"/>
        <v>2185</v>
      </c>
      <c r="Q77" s="132">
        <f t="shared" si="2"/>
        <v>2122</v>
      </c>
      <c r="R77" s="132">
        <f t="shared" si="3"/>
        <v>2146</v>
      </c>
      <c r="S77" s="132">
        <f t="shared" si="4"/>
        <v>2121</v>
      </c>
      <c r="T77" s="132">
        <f t="shared" si="5"/>
        <v>2133.5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275">
        <v>1017</v>
      </c>
      <c r="C78" s="276"/>
      <c r="D78" s="9"/>
      <c r="E78" s="129">
        <v>17052</v>
      </c>
      <c r="F78" s="129">
        <v>18666</v>
      </c>
      <c r="G78" s="9" t="s">
        <v>298</v>
      </c>
      <c r="H78" s="129">
        <v>16905</v>
      </c>
      <c r="I78" s="9">
        <v>16248</v>
      </c>
      <c r="J78" s="130" t="s">
        <v>299</v>
      </c>
      <c r="K78" s="277"/>
      <c r="L78" s="277"/>
      <c r="M78" s="277"/>
      <c r="O78" s="131">
        <f t="shared" si="0"/>
        <v>17052</v>
      </c>
      <c r="P78" s="132">
        <f t="shared" si="1"/>
        <v>18666</v>
      </c>
      <c r="Q78" s="132">
        <f t="shared" si="2"/>
        <v>17859</v>
      </c>
      <c r="R78" s="132">
        <f t="shared" si="3"/>
        <v>16905</v>
      </c>
      <c r="S78" s="132">
        <f t="shared" si="4"/>
        <v>16248</v>
      </c>
      <c r="T78" s="132">
        <f t="shared" si="5"/>
        <v>16576.5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275">
        <v>1018</v>
      </c>
      <c r="C79" s="276"/>
      <c r="D79" s="9"/>
      <c r="E79" s="133">
        <v>7365</v>
      </c>
      <c r="F79" s="129">
        <v>6763</v>
      </c>
      <c r="G79" s="9" t="s">
        <v>298</v>
      </c>
      <c r="H79" s="129">
        <v>7259</v>
      </c>
      <c r="I79" s="9">
        <v>6954</v>
      </c>
      <c r="J79" s="130" t="s">
        <v>299</v>
      </c>
      <c r="K79" s="277"/>
      <c r="L79" s="277"/>
      <c r="M79" s="277"/>
      <c r="O79" s="131">
        <f t="shared" si="0"/>
        <v>7365</v>
      </c>
      <c r="P79" s="132">
        <f t="shared" si="1"/>
        <v>6763</v>
      </c>
      <c r="Q79" s="132">
        <f t="shared" si="2"/>
        <v>7064</v>
      </c>
      <c r="R79" s="132">
        <f t="shared" si="3"/>
        <v>7259</v>
      </c>
      <c r="S79" s="132">
        <f t="shared" si="4"/>
        <v>6954</v>
      </c>
      <c r="T79" s="132">
        <f t="shared" si="5"/>
        <v>7106.5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275">
        <v>1019</v>
      </c>
      <c r="C80" s="276"/>
      <c r="D80" s="9"/>
      <c r="E80" s="129">
        <v>940</v>
      </c>
      <c r="F80" s="129">
        <v>987</v>
      </c>
      <c r="G80" s="9" t="s">
        <v>298</v>
      </c>
      <c r="H80" s="129">
        <v>996</v>
      </c>
      <c r="I80" s="9">
        <v>977</v>
      </c>
      <c r="J80" s="130" t="s">
        <v>299</v>
      </c>
      <c r="K80" s="277"/>
      <c r="L80" s="277"/>
      <c r="M80" s="277"/>
      <c r="O80" s="131">
        <f t="shared" si="0"/>
        <v>940</v>
      </c>
      <c r="P80" s="132">
        <f t="shared" si="1"/>
        <v>987</v>
      </c>
      <c r="Q80" s="132">
        <f t="shared" si="2"/>
        <v>963.5</v>
      </c>
      <c r="R80" s="132">
        <f t="shared" si="3"/>
        <v>996</v>
      </c>
      <c r="S80" s="132">
        <f t="shared" si="4"/>
        <v>977</v>
      </c>
      <c r="T80" s="132">
        <f t="shared" si="5"/>
        <v>986.5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275">
        <v>1020</v>
      </c>
      <c r="C81" s="276"/>
      <c r="D81" s="9"/>
      <c r="E81" s="129">
        <v>434</v>
      </c>
      <c r="F81" s="9">
        <v>383</v>
      </c>
      <c r="G81" s="9" t="s">
        <v>298</v>
      </c>
      <c r="H81" s="9">
        <v>456</v>
      </c>
      <c r="I81" s="9">
        <v>506</v>
      </c>
      <c r="J81" s="130" t="s">
        <v>299</v>
      </c>
      <c r="K81" s="277"/>
      <c r="L81" s="277"/>
      <c r="M81" s="277"/>
      <c r="O81" s="131">
        <f t="shared" si="0"/>
        <v>434</v>
      </c>
      <c r="P81" s="132">
        <f t="shared" si="1"/>
        <v>383</v>
      </c>
      <c r="Q81" s="132">
        <f t="shared" si="2"/>
        <v>408.5</v>
      </c>
      <c r="R81" s="132">
        <f t="shared" si="3"/>
        <v>456</v>
      </c>
      <c r="S81" s="132">
        <f t="shared" si="4"/>
        <v>506</v>
      </c>
      <c r="T81" s="132">
        <f t="shared" si="5"/>
        <v>481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275">
        <v>1021</v>
      </c>
      <c r="C82" s="276"/>
      <c r="D82" s="9"/>
      <c r="E82" s="129">
        <v>5693</v>
      </c>
      <c r="F82" s="9">
        <v>5553</v>
      </c>
      <c r="G82" s="9" t="s">
        <v>298</v>
      </c>
      <c r="H82" s="9">
        <v>5677</v>
      </c>
      <c r="I82" s="9">
        <v>5529</v>
      </c>
      <c r="J82" s="130" t="s">
        <v>299</v>
      </c>
      <c r="K82" s="277"/>
      <c r="L82" s="277"/>
      <c r="M82" s="277"/>
      <c r="O82" s="131">
        <f t="shared" si="0"/>
        <v>5693</v>
      </c>
      <c r="P82" s="132">
        <f t="shared" si="1"/>
        <v>5553</v>
      </c>
      <c r="Q82" s="132">
        <f t="shared" si="2"/>
        <v>5623</v>
      </c>
      <c r="R82" s="132">
        <f t="shared" si="3"/>
        <v>5677</v>
      </c>
      <c r="S82" s="132">
        <f t="shared" si="4"/>
        <v>5529</v>
      </c>
      <c r="T82" s="132">
        <f t="shared" si="5"/>
        <v>5603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275">
        <v>1022</v>
      </c>
      <c r="C83" s="276"/>
      <c r="D83" s="9"/>
      <c r="E83" s="129">
        <v>4987</v>
      </c>
      <c r="F83" s="129">
        <v>4860</v>
      </c>
      <c r="G83" s="9" t="s">
        <v>298</v>
      </c>
      <c r="H83" s="129">
        <v>5071</v>
      </c>
      <c r="I83" s="9">
        <v>5021</v>
      </c>
      <c r="J83" s="130" t="s">
        <v>299</v>
      </c>
      <c r="K83" s="277"/>
      <c r="L83" s="277"/>
      <c r="M83" s="277"/>
      <c r="O83" s="131">
        <f t="shared" si="0"/>
        <v>4987</v>
      </c>
      <c r="P83" s="132">
        <f t="shared" si="1"/>
        <v>4860</v>
      </c>
      <c r="Q83" s="132">
        <f t="shared" si="2"/>
        <v>4923.5</v>
      </c>
      <c r="R83" s="132">
        <f t="shared" si="3"/>
        <v>5071</v>
      </c>
      <c r="S83" s="132">
        <f t="shared" si="4"/>
        <v>5021</v>
      </c>
      <c r="T83" s="132">
        <f t="shared" si="5"/>
        <v>5046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275">
        <v>1023</v>
      </c>
      <c r="C84" s="276"/>
      <c r="D84" s="9"/>
      <c r="E84" s="129">
        <v>2754</v>
      </c>
      <c r="F84" s="129">
        <v>2736</v>
      </c>
      <c r="G84" s="9" t="s">
        <v>298</v>
      </c>
      <c r="H84" s="129">
        <v>2873</v>
      </c>
      <c r="I84" s="9">
        <v>2726</v>
      </c>
      <c r="J84" s="130" t="s">
        <v>299</v>
      </c>
      <c r="K84" s="277"/>
      <c r="L84" s="277"/>
      <c r="M84" s="277"/>
      <c r="O84" s="131">
        <f t="shared" si="0"/>
        <v>2754</v>
      </c>
      <c r="P84" s="132">
        <f t="shared" si="1"/>
        <v>2736</v>
      </c>
      <c r="Q84" s="132">
        <f t="shared" si="2"/>
        <v>2745</v>
      </c>
      <c r="R84" s="132">
        <f t="shared" si="3"/>
        <v>2873</v>
      </c>
      <c r="S84" s="132">
        <f t="shared" si="4"/>
        <v>2726</v>
      </c>
      <c r="T84" s="132">
        <f t="shared" si="5"/>
        <v>2799.5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275">
        <v>1024</v>
      </c>
      <c r="C85" s="276"/>
      <c r="D85" s="9"/>
      <c r="E85" s="129">
        <v>1725</v>
      </c>
      <c r="F85" s="129">
        <v>1752</v>
      </c>
      <c r="G85" s="9" t="s">
        <v>298</v>
      </c>
      <c r="H85" s="129">
        <v>1775</v>
      </c>
      <c r="I85" s="9">
        <v>1668</v>
      </c>
      <c r="J85" s="130" t="s">
        <v>299</v>
      </c>
      <c r="K85" s="277"/>
      <c r="L85" s="277"/>
      <c r="M85" s="277"/>
      <c r="O85" s="131">
        <f t="shared" si="0"/>
        <v>1725</v>
      </c>
      <c r="P85" s="132">
        <f t="shared" si="1"/>
        <v>1752</v>
      </c>
      <c r="Q85" s="132">
        <f t="shared" si="2"/>
        <v>1738.5</v>
      </c>
      <c r="R85" s="132">
        <f t="shared" si="3"/>
        <v>1775</v>
      </c>
      <c r="S85" s="132">
        <f t="shared" si="4"/>
        <v>1668</v>
      </c>
      <c r="T85" s="132">
        <f t="shared" si="5"/>
        <v>1721.5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275">
        <v>1025</v>
      </c>
      <c r="C86" s="276"/>
      <c r="D86" s="9"/>
      <c r="E86" s="129">
        <v>7192</v>
      </c>
      <c r="F86" s="129">
        <v>6922</v>
      </c>
      <c r="G86" s="9" t="s">
        <v>298</v>
      </c>
      <c r="H86" s="129">
        <v>7454</v>
      </c>
      <c r="I86" s="9">
        <v>7641</v>
      </c>
      <c r="J86" s="130" t="s">
        <v>299</v>
      </c>
      <c r="K86" s="277"/>
      <c r="L86" s="277"/>
      <c r="M86" s="277"/>
      <c r="O86" s="131">
        <f t="shared" si="0"/>
        <v>7192</v>
      </c>
      <c r="P86" s="132">
        <f t="shared" si="1"/>
        <v>6922</v>
      </c>
      <c r="Q86" s="132">
        <f t="shared" si="2"/>
        <v>7057</v>
      </c>
      <c r="R86" s="132">
        <f t="shared" si="3"/>
        <v>7454</v>
      </c>
      <c r="S86" s="132">
        <f t="shared" si="4"/>
        <v>7641</v>
      </c>
      <c r="T86" s="132">
        <f t="shared" si="5"/>
        <v>7547.5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275">
        <v>1026</v>
      </c>
      <c r="C87" s="276"/>
      <c r="D87" s="9"/>
      <c r="E87" s="129">
        <v>3024</v>
      </c>
      <c r="F87" s="129">
        <v>2979</v>
      </c>
      <c r="G87" s="9" t="s">
        <v>298</v>
      </c>
      <c r="H87" s="129">
        <v>3058</v>
      </c>
      <c r="I87" s="9">
        <v>2961</v>
      </c>
      <c r="J87" s="130" t="s">
        <v>299</v>
      </c>
      <c r="K87" s="277"/>
      <c r="L87" s="277"/>
      <c r="M87" s="277"/>
      <c r="O87" s="131">
        <f t="shared" si="0"/>
        <v>3024</v>
      </c>
      <c r="P87" s="132">
        <f t="shared" si="1"/>
        <v>2979</v>
      </c>
      <c r="Q87" s="132">
        <f t="shared" si="2"/>
        <v>3001.5</v>
      </c>
      <c r="R87" s="132">
        <f t="shared" si="3"/>
        <v>3058</v>
      </c>
      <c r="S87" s="132">
        <f t="shared" si="4"/>
        <v>2961</v>
      </c>
      <c r="T87" s="132">
        <f t="shared" si="5"/>
        <v>3009.5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275">
        <v>1027</v>
      </c>
      <c r="C88" s="276"/>
      <c r="D88" s="9"/>
      <c r="E88" s="129">
        <v>903</v>
      </c>
      <c r="F88" s="129">
        <v>888</v>
      </c>
      <c r="G88" s="9" t="s">
        <v>298</v>
      </c>
      <c r="H88" s="129">
        <v>954</v>
      </c>
      <c r="I88" s="9">
        <v>1019</v>
      </c>
      <c r="J88" s="130" t="s">
        <v>299</v>
      </c>
      <c r="K88" s="277"/>
      <c r="L88" s="277"/>
      <c r="M88" s="277"/>
      <c r="O88" s="131">
        <f t="shared" si="0"/>
        <v>903</v>
      </c>
      <c r="P88" s="132">
        <f t="shared" si="1"/>
        <v>888</v>
      </c>
      <c r="Q88" s="132">
        <f t="shared" si="2"/>
        <v>895.5</v>
      </c>
      <c r="R88" s="132">
        <f t="shared" si="3"/>
        <v>954</v>
      </c>
      <c r="S88" s="132">
        <f t="shared" si="4"/>
        <v>1019</v>
      </c>
      <c r="T88" s="132">
        <f t="shared" si="5"/>
        <v>986.5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275">
        <v>1028</v>
      </c>
      <c r="C89" s="276"/>
      <c r="D89" s="9"/>
      <c r="E89" s="129">
        <v>11962</v>
      </c>
      <c r="F89" s="9">
        <v>12349</v>
      </c>
      <c r="G89" s="9" t="s">
        <v>298</v>
      </c>
      <c r="H89" s="9">
        <v>11793</v>
      </c>
      <c r="I89" s="9">
        <v>11631</v>
      </c>
      <c r="J89" s="130" t="s">
        <v>299</v>
      </c>
      <c r="K89" s="277"/>
      <c r="L89" s="277"/>
      <c r="M89" s="277"/>
      <c r="O89" s="131">
        <f t="shared" si="0"/>
        <v>11962</v>
      </c>
      <c r="P89" s="132">
        <f t="shared" si="1"/>
        <v>12349</v>
      </c>
      <c r="Q89" s="132">
        <f t="shared" si="2"/>
        <v>12155.5</v>
      </c>
      <c r="R89" s="132">
        <f t="shared" si="3"/>
        <v>11793</v>
      </c>
      <c r="S89" s="132">
        <f t="shared" si="4"/>
        <v>11631</v>
      </c>
      <c r="T89" s="132">
        <f t="shared" si="5"/>
        <v>11712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275">
        <v>1029</v>
      </c>
      <c r="C90" s="276"/>
      <c r="D90" s="9"/>
      <c r="E90" s="133">
        <v>1295</v>
      </c>
      <c r="F90" s="129">
        <v>1286</v>
      </c>
      <c r="G90" s="9" t="s">
        <v>298</v>
      </c>
      <c r="H90" s="129">
        <v>1347</v>
      </c>
      <c r="I90" s="9">
        <v>1485</v>
      </c>
      <c r="J90" s="130" t="s">
        <v>299</v>
      </c>
      <c r="K90" s="277"/>
      <c r="L90" s="277"/>
      <c r="M90" s="277"/>
      <c r="O90" s="131">
        <f t="shared" si="0"/>
        <v>1295</v>
      </c>
      <c r="P90" s="132">
        <f t="shared" si="1"/>
        <v>1286</v>
      </c>
      <c r="Q90" s="132">
        <f t="shared" si="2"/>
        <v>1290.5</v>
      </c>
      <c r="R90" s="132">
        <f t="shared" si="3"/>
        <v>1347</v>
      </c>
      <c r="S90" s="132">
        <f t="shared" si="4"/>
        <v>1485</v>
      </c>
      <c r="T90" s="132">
        <f t="shared" si="5"/>
        <v>1416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275">
        <v>1030</v>
      </c>
      <c r="C91" s="276"/>
      <c r="D91" s="9"/>
      <c r="E91" s="129">
        <v>948</v>
      </c>
      <c r="F91" s="129">
        <v>938</v>
      </c>
      <c r="G91" s="9" t="s">
        <v>298</v>
      </c>
      <c r="H91" s="129">
        <v>1000</v>
      </c>
      <c r="I91" s="9">
        <v>997</v>
      </c>
      <c r="J91" s="130" t="s">
        <v>299</v>
      </c>
      <c r="K91" s="277"/>
      <c r="L91" s="277"/>
      <c r="M91" s="277"/>
      <c r="O91" s="131">
        <f t="shared" si="0"/>
        <v>948</v>
      </c>
      <c r="P91" s="132">
        <f t="shared" si="1"/>
        <v>938</v>
      </c>
      <c r="Q91" s="132">
        <f t="shared" si="2"/>
        <v>943</v>
      </c>
      <c r="R91" s="132">
        <f t="shared" si="3"/>
        <v>1000</v>
      </c>
      <c r="S91" s="132">
        <f t="shared" si="4"/>
        <v>997</v>
      </c>
      <c r="T91" s="132">
        <f t="shared" si="5"/>
        <v>998.5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275">
        <v>1031</v>
      </c>
      <c r="C92" s="276"/>
      <c r="D92" s="9"/>
      <c r="E92" s="129">
        <v>11643</v>
      </c>
      <c r="F92" s="9">
        <v>10982</v>
      </c>
      <c r="G92" s="9" t="s">
        <v>298</v>
      </c>
      <c r="H92" s="9">
        <v>11982</v>
      </c>
      <c r="I92" s="9">
        <v>11415</v>
      </c>
      <c r="J92" s="130" t="s">
        <v>299</v>
      </c>
      <c r="K92" s="277"/>
      <c r="L92" s="277"/>
      <c r="M92" s="277"/>
      <c r="O92" s="131">
        <f t="shared" si="0"/>
        <v>11643</v>
      </c>
      <c r="P92" s="132">
        <f t="shared" si="1"/>
        <v>10982</v>
      </c>
      <c r="Q92" s="132">
        <f t="shared" si="2"/>
        <v>11312.5</v>
      </c>
      <c r="R92" s="132">
        <f t="shared" si="3"/>
        <v>11982</v>
      </c>
      <c r="S92" s="132">
        <f t="shared" si="4"/>
        <v>11415</v>
      </c>
      <c r="T92" s="132">
        <f t="shared" si="5"/>
        <v>11698.5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275">
        <v>1032</v>
      </c>
      <c r="C93" s="276"/>
      <c r="D93" s="9"/>
      <c r="E93" s="129">
        <v>2687</v>
      </c>
      <c r="F93" s="129">
        <v>2713</v>
      </c>
      <c r="G93" s="9" t="s">
        <v>298</v>
      </c>
      <c r="H93" s="129">
        <v>2777</v>
      </c>
      <c r="I93" s="9">
        <v>2881</v>
      </c>
      <c r="J93" s="130" t="s">
        <v>299</v>
      </c>
      <c r="K93" s="277"/>
      <c r="L93" s="277"/>
      <c r="M93" s="277"/>
      <c r="O93" s="131">
        <f t="shared" si="0"/>
        <v>2687</v>
      </c>
      <c r="P93" s="132">
        <f t="shared" si="1"/>
        <v>2713</v>
      </c>
      <c r="Q93" s="132">
        <f t="shared" si="2"/>
        <v>2700</v>
      </c>
      <c r="R93" s="132">
        <f t="shared" si="3"/>
        <v>2777</v>
      </c>
      <c r="S93" s="132">
        <f t="shared" si="4"/>
        <v>2881</v>
      </c>
      <c r="T93" s="132">
        <f t="shared" si="5"/>
        <v>2829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275">
        <v>1033</v>
      </c>
      <c r="C94" s="276"/>
      <c r="D94" s="9"/>
      <c r="E94" s="129">
        <v>3688</v>
      </c>
      <c r="F94" s="129">
        <v>3434</v>
      </c>
      <c r="G94" s="9" t="s">
        <v>298</v>
      </c>
      <c r="H94" s="129">
        <v>3714</v>
      </c>
      <c r="I94" s="9">
        <v>3839</v>
      </c>
      <c r="J94" s="130" t="s">
        <v>299</v>
      </c>
      <c r="K94" s="277"/>
      <c r="L94" s="277"/>
      <c r="M94" s="277"/>
      <c r="O94" s="131">
        <f t="shared" si="0"/>
        <v>3688</v>
      </c>
      <c r="P94" s="132">
        <f t="shared" si="1"/>
        <v>3434</v>
      </c>
      <c r="Q94" s="132">
        <f t="shared" si="2"/>
        <v>3561</v>
      </c>
      <c r="R94" s="132">
        <f t="shared" si="3"/>
        <v>3714</v>
      </c>
      <c r="S94" s="132">
        <f t="shared" si="4"/>
        <v>3839</v>
      </c>
      <c r="T94" s="132">
        <f t="shared" si="5"/>
        <v>3776.5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275">
        <v>1034</v>
      </c>
      <c r="C95" s="276"/>
      <c r="D95" s="9"/>
      <c r="E95" s="133">
        <v>1756</v>
      </c>
      <c r="F95" s="9">
        <v>1666</v>
      </c>
      <c r="G95" s="9" t="s">
        <v>298</v>
      </c>
      <c r="H95" s="9">
        <v>1873</v>
      </c>
      <c r="I95" s="9">
        <v>1925</v>
      </c>
      <c r="J95" s="130" t="s">
        <v>299</v>
      </c>
      <c r="K95" s="277"/>
      <c r="L95" s="277"/>
      <c r="M95" s="277"/>
      <c r="O95" s="131">
        <f t="shared" si="0"/>
        <v>1756</v>
      </c>
      <c r="P95" s="132">
        <f t="shared" si="1"/>
        <v>1666</v>
      </c>
      <c r="Q95" s="132">
        <f t="shared" si="2"/>
        <v>1711</v>
      </c>
      <c r="R95" s="132">
        <f t="shared" si="3"/>
        <v>1873</v>
      </c>
      <c r="S95" s="132">
        <f t="shared" si="4"/>
        <v>1925</v>
      </c>
      <c r="T95" s="132">
        <f t="shared" si="5"/>
        <v>1899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275">
        <v>1035</v>
      </c>
      <c r="C96" s="276"/>
      <c r="D96" s="9"/>
      <c r="E96" s="129">
        <v>989</v>
      </c>
      <c r="F96" s="129">
        <v>1023</v>
      </c>
      <c r="G96" s="9" t="s">
        <v>298</v>
      </c>
      <c r="H96" s="129">
        <v>1062</v>
      </c>
      <c r="I96" s="9">
        <v>1022</v>
      </c>
      <c r="J96" s="130" t="s">
        <v>299</v>
      </c>
      <c r="K96" s="277"/>
      <c r="L96" s="277"/>
      <c r="M96" s="277"/>
      <c r="O96" s="131">
        <f t="shared" si="0"/>
        <v>989</v>
      </c>
      <c r="P96" s="132">
        <f t="shared" si="1"/>
        <v>1023</v>
      </c>
      <c r="Q96" s="132">
        <f t="shared" si="2"/>
        <v>1006</v>
      </c>
      <c r="R96" s="132">
        <f t="shared" si="3"/>
        <v>1062</v>
      </c>
      <c r="S96" s="132">
        <f t="shared" si="4"/>
        <v>1022</v>
      </c>
      <c r="T96" s="132">
        <f t="shared" si="5"/>
        <v>1042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275">
        <v>1036</v>
      </c>
      <c r="C97" s="276"/>
      <c r="D97" s="9"/>
      <c r="E97" s="129">
        <v>1182</v>
      </c>
      <c r="F97" s="129">
        <v>1179</v>
      </c>
      <c r="G97" s="9" t="s">
        <v>298</v>
      </c>
      <c r="H97" s="129">
        <v>1570</v>
      </c>
      <c r="I97" s="9">
        <v>1662</v>
      </c>
      <c r="J97" s="130" t="s">
        <v>299</v>
      </c>
      <c r="K97" s="277"/>
      <c r="L97" s="277"/>
      <c r="M97" s="277"/>
      <c r="O97" s="131">
        <f t="shared" si="0"/>
        <v>1182</v>
      </c>
      <c r="P97" s="132">
        <f t="shared" si="1"/>
        <v>1179</v>
      </c>
      <c r="Q97" s="132">
        <f t="shared" si="2"/>
        <v>1180.5</v>
      </c>
      <c r="R97" s="132">
        <f t="shared" si="3"/>
        <v>1570</v>
      </c>
      <c r="S97" s="132">
        <f t="shared" si="4"/>
        <v>1662</v>
      </c>
      <c r="T97" s="132">
        <f t="shared" si="5"/>
        <v>1616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275">
        <v>1037</v>
      </c>
      <c r="C98" s="276"/>
      <c r="D98" s="9"/>
      <c r="E98" s="129">
        <v>9098</v>
      </c>
      <c r="F98" s="129">
        <v>8916</v>
      </c>
      <c r="G98" s="9" t="s">
        <v>298</v>
      </c>
      <c r="H98" s="129">
        <v>9212</v>
      </c>
      <c r="I98" s="9">
        <v>9549</v>
      </c>
      <c r="J98" s="130" t="s">
        <v>299</v>
      </c>
      <c r="K98" s="277"/>
      <c r="L98" s="277"/>
      <c r="M98" s="277"/>
      <c r="O98" s="131">
        <f t="shared" si="0"/>
        <v>9098</v>
      </c>
      <c r="P98" s="132">
        <f t="shared" si="1"/>
        <v>8916</v>
      </c>
      <c r="Q98" s="132">
        <f t="shared" si="2"/>
        <v>9007</v>
      </c>
      <c r="R98" s="132">
        <f t="shared" si="3"/>
        <v>9212</v>
      </c>
      <c r="S98" s="132">
        <f t="shared" si="4"/>
        <v>9549</v>
      </c>
      <c r="T98" s="132">
        <f t="shared" si="5"/>
        <v>9380.5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275">
        <v>1038</v>
      </c>
      <c r="C99" s="276"/>
      <c r="D99" s="9"/>
      <c r="E99" s="129">
        <v>4333</v>
      </c>
      <c r="F99" s="129">
        <v>4543</v>
      </c>
      <c r="G99" s="9" t="s">
        <v>298</v>
      </c>
      <c r="H99" s="129">
        <v>4427</v>
      </c>
      <c r="I99" s="9">
        <v>4238</v>
      </c>
      <c r="J99" s="130" t="s">
        <v>299</v>
      </c>
      <c r="K99" s="277"/>
      <c r="L99" s="277"/>
      <c r="M99" s="277"/>
      <c r="O99" s="131">
        <f t="shared" si="0"/>
        <v>4333</v>
      </c>
      <c r="P99" s="132">
        <f t="shared" si="1"/>
        <v>4543</v>
      </c>
      <c r="Q99" s="132">
        <f t="shared" si="2"/>
        <v>4438</v>
      </c>
      <c r="R99" s="132">
        <f t="shared" si="3"/>
        <v>4427</v>
      </c>
      <c r="S99" s="132">
        <f t="shared" si="4"/>
        <v>4238</v>
      </c>
      <c r="T99" s="132">
        <f t="shared" si="5"/>
        <v>4332.5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275">
        <v>1039</v>
      </c>
      <c r="C100" s="276"/>
      <c r="D100" s="9"/>
      <c r="E100" s="129">
        <v>3486</v>
      </c>
      <c r="F100" s="129">
        <v>3726</v>
      </c>
      <c r="G100" s="9" t="s">
        <v>298</v>
      </c>
      <c r="H100" s="129">
        <v>3516</v>
      </c>
      <c r="I100" s="9">
        <v>3101</v>
      </c>
      <c r="J100" s="130" t="s">
        <v>299</v>
      </c>
      <c r="K100" s="277"/>
      <c r="L100" s="277"/>
      <c r="M100" s="277"/>
      <c r="O100" s="131">
        <f t="shared" si="0"/>
        <v>3486</v>
      </c>
      <c r="P100" s="132">
        <f t="shared" si="1"/>
        <v>3726</v>
      </c>
      <c r="Q100" s="132">
        <f t="shared" si="2"/>
        <v>3606</v>
      </c>
      <c r="R100" s="132">
        <f t="shared" si="3"/>
        <v>3516</v>
      </c>
      <c r="S100" s="132">
        <f t="shared" si="4"/>
        <v>3101</v>
      </c>
      <c r="T100" s="132">
        <f t="shared" si="5"/>
        <v>3308.5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81"/>
      <c r="C101" s="281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77"/>
      <c r="L101" s="277"/>
      <c r="M101" s="277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81"/>
      <c r="C102" s="281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77"/>
      <c r="L102" s="277"/>
      <c r="M102" s="277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81"/>
      <c r="C103" s="281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77"/>
      <c r="L103" s="277"/>
      <c r="M103" s="277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81"/>
      <c r="C104" s="281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77"/>
      <c r="L104" s="277"/>
      <c r="M104" s="277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81"/>
      <c r="C105" s="281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77"/>
      <c r="L105" s="277"/>
      <c r="M105" s="277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81"/>
      <c r="C106" s="281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77"/>
      <c r="L106" s="277"/>
      <c r="M106" s="277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81"/>
      <c r="C107" s="281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77"/>
      <c r="L107" s="277"/>
      <c r="M107" s="277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81"/>
      <c r="C108" s="281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77"/>
      <c r="L108" s="277"/>
      <c r="M108" s="277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81"/>
      <c r="C109" s="281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77"/>
      <c r="L109" s="277"/>
      <c r="M109" s="277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81"/>
      <c r="C110" s="281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77"/>
      <c r="L110" s="277"/>
      <c r="M110" s="277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81"/>
      <c r="C111" s="281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77"/>
      <c r="L111" s="277"/>
      <c r="M111" s="277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81"/>
      <c r="C112" s="281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77"/>
      <c r="L112" s="277"/>
      <c r="M112" s="277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81"/>
      <c r="C113" s="281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77"/>
      <c r="L113" s="277"/>
      <c r="M113" s="277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81"/>
      <c r="C114" s="281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77"/>
      <c r="L114" s="277"/>
      <c r="M114" s="277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81"/>
      <c r="C115" s="281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77"/>
      <c r="L115" s="277"/>
      <c r="M115" s="277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81"/>
      <c r="C116" s="281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77"/>
      <c r="L116" s="277"/>
      <c r="M116" s="277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81"/>
      <c r="C117" s="281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77"/>
      <c r="L117" s="277"/>
      <c r="M117" s="277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81"/>
      <c r="C118" s="281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77"/>
      <c r="L118" s="277"/>
      <c r="M118" s="277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81"/>
      <c r="C119" s="281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77"/>
      <c r="L119" s="277"/>
      <c r="M119" s="277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81"/>
      <c r="C120" s="281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77"/>
      <c r="L120" s="277"/>
      <c r="M120" s="277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81"/>
      <c r="C121" s="281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77"/>
      <c r="L121" s="277"/>
      <c r="M121" s="277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81"/>
      <c r="C122" s="281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77"/>
      <c r="L122" s="277"/>
      <c r="M122" s="277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81"/>
      <c r="C123" s="281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77"/>
      <c r="L123" s="277"/>
      <c r="M123" s="277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81"/>
      <c r="C124" s="281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77"/>
      <c r="L124" s="277"/>
      <c r="M124" s="277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81"/>
      <c r="C125" s="281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77"/>
      <c r="L125" s="277"/>
      <c r="M125" s="277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81"/>
      <c r="C126" s="281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77"/>
      <c r="L126" s="277"/>
      <c r="M126" s="277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81"/>
      <c r="C127" s="281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77"/>
      <c r="L127" s="277"/>
      <c r="M127" s="277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81"/>
      <c r="C128" s="281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77"/>
      <c r="L128" s="277"/>
      <c r="M128" s="277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81"/>
      <c r="C129" s="281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77"/>
      <c r="L129" s="277"/>
      <c r="M129" s="277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81"/>
      <c r="C130" s="281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77"/>
      <c r="L130" s="277"/>
      <c r="M130" s="277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81"/>
      <c r="C131" s="281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77"/>
      <c r="L131" s="277"/>
      <c r="M131" s="277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81"/>
      <c r="C132" s="281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77"/>
      <c r="L132" s="277"/>
      <c r="M132" s="277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81"/>
      <c r="C133" s="281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77"/>
      <c r="L133" s="277"/>
      <c r="M133" s="277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81"/>
      <c r="C134" s="281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77"/>
      <c r="L134" s="277"/>
      <c r="M134" s="277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81"/>
      <c r="C135" s="281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77"/>
      <c r="L135" s="277"/>
      <c r="M135" s="277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81"/>
      <c r="C136" s="281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77"/>
      <c r="L136" s="277"/>
      <c r="M136" s="277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81"/>
      <c r="C137" s="281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77"/>
      <c r="L137" s="277"/>
      <c r="M137" s="277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81"/>
      <c r="C138" s="281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77"/>
      <c r="L138" s="277"/>
      <c r="M138" s="277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81"/>
      <c r="C139" s="281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77"/>
      <c r="L139" s="277"/>
      <c r="M139" s="277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81"/>
      <c r="C140" s="281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77"/>
      <c r="L140" s="277"/>
      <c r="M140" s="277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81"/>
      <c r="C141" s="281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77"/>
      <c r="L141" s="277"/>
      <c r="M141" s="277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81"/>
      <c r="C142" s="281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77"/>
      <c r="L142" s="277"/>
      <c r="M142" s="277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81"/>
      <c r="C143" s="281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77"/>
      <c r="L143" s="277"/>
      <c r="M143" s="277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81"/>
      <c r="C144" s="281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77"/>
      <c r="L144" s="277"/>
      <c r="M144" s="277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81"/>
      <c r="C145" s="281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77"/>
      <c r="L145" s="277"/>
      <c r="M145" s="277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81"/>
      <c r="C146" s="281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77"/>
      <c r="L146" s="277"/>
      <c r="M146" s="277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81"/>
      <c r="C147" s="281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77"/>
      <c r="L147" s="277"/>
      <c r="M147" s="277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81"/>
      <c r="C148" s="281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77"/>
      <c r="L148" s="277"/>
      <c r="M148" s="277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81"/>
      <c r="C149" s="281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77"/>
      <c r="L149" s="277"/>
      <c r="M149" s="277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81"/>
      <c r="C150" s="281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77"/>
      <c r="L150" s="277"/>
      <c r="M150" s="277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81"/>
      <c r="C151" s="281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77"/>
      <c r="L151" s="277"/>
      <c r="M151" s="277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81"/>
      <c r="C152" s="281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77"/>
      <c r="L152" s="277"/>
      <c r="M152" s="277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81"/>
      <c r="C153" s="281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77"/>
      <c r="L153" s="277"/>
      <c r="M153" s="277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81"/>
      <c r="C154" s="281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77"/>
      <c r="L154" s="277"/>
      <c r="M154" s="277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81"/>
      <c r="C155" s="281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77"/>
      <c r="L155" s="277"/>
      <c r="M155" s="277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81"/>
      <c r="C156" s="281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77"/>
      <c r="L156" s="277"/>
      <c r="M156" s="277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81"/>
      <c r="C157" s="281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77"/>
      <c r="L157" s="277"/>
      <c r="M157" s="277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81"/>
      <c r="C158" s="281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77"/>
      <c r="L158" s="277"/>
      <c r="M158" s="277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81"/>
      <c r="C159" s="281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77"/>
      <c r="L159" s="277"/>
      <c r="M159" s="277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81"/>
      <c r="C160" s="281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77"/>
      <c r="L160" s="277"/>
      <c r="M160" s="277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>
        <f>IF(D164=0,"",CORREL(Q61:Q160,T61:T160))</f>
        <v>0.99715519767165495</v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40</v>
      </c>
      <c r="E164" s="132">
        <f>COUNT(T61:T160)</f>
        <v>40</v>
      </c>
      <c r="G164" s="104"/>
      <c r="I164" s="141" t="s">
        <v>302</v>
      </c>
      <c r="J164" s="142">
        <f>IF(D164=0,"",J163^2)</f>
        <v>0.99431848824359725</v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>
        <f>IF(ISERROR(AVERAGE(Q61:Q160)),"",AVERAGE(Q61:Q160))</f>
        <v>4526.45</v>
      </c>
      <c r="E165" s="142">
        <f>IF(ISERROR(AVERAGE(T61:T160)),"",AVERAGE(T61:T160))</f>
        <v>4569.1125000000002</v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545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0.97105585403679417</v>
      </c>
      <c r="F169" s="147">
        <v>1.0276964905040973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-8.7746197988104768</v>
      </c>
      <c r="F170" s="147">
        <v>125.43558168952536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308</v>
      </c>
      <c r="E176" s="140" t="s">
        <v>309</v>
      </c>
      <c r="F176" s="140" t="s">
        <v>310</v>
      </c>
      <c r="G176" s="140" t="s">
        <v>546</v>
      </c>
      <c r="H176" s="140" t="s">
        <v>547</v>
      </c>
      <c r="I176" s="140" t="s">
        <v>167</v>
      </c>
      <c r="Z176" s="104"/>
      <c r="AH176" s="138"/>
    </row>
    <row r="177" spans="3:34" ht="18" customHeight="1" x14ac:dyDescent="0.25">
      <c r="C177" s="132" t="s">
        <v>308</v>
      </c>
      <c r="D177" s="140">
        <v>13</v>
      </c>
      <c r="E177" s="140">
        <v>0</v>
      </c>
      <c r="F177" s="140">
        <v>0</v>
      </c>
      <c r="G177" s="140">
        <v>0</v>
      </c>
      <c r="H177" s="140">
        <v>0</v>
      </c>
      <c r="I177" s="140">
        <v>13</v>
      </c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309</v>
      </c>
      <c r="D178" s="140">
        <v>0</v>
      </c>
      <c r="E178" s="140">
        <v>9</v>
      </c>
      <c r="F178" s="140">
        <v>0</v>
      </c>
      <c r="G178" s="140">
        <v>0</v>
      </c>
      <c r="H178" s="140">
        <v>0</v>
      </c>
      <c r="I178" s="140">
        <v>9</v>
      </c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310</v>
      </c>
      <c r="D179" s="140">
        <v>0</v>
      </c>
      <c r="E179" s="140">
        <v>1</v>
      </c>
      <c r="F179" s="140">
        <v>6</v>
      </c>
      <c r="G179" s="140">
        <v>1</v>
      </c>
      <c r="H179" s="140">
        <v>0</v>
      </c>
      <c r="I179" s="140">
        <v>8</v>
      </c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546</v>
      </c>
      <c r="D180" s="140">
        <v>0</v>
      </c>
      <c r="E180" s="140">
        <v>0</v>
      </c>
      <c r="F180" s="140">
        <v>0</v>
      </c>
      <c r="G180" s="140">
        <v>6</v>
      </c>
      <c r="H180" s="140">
        <v>0</v>
      </c>
      <c r="I180" s="140">
        <v>6</v>
      </c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547</v>
      </c>
      <c r="D181" s="140">
        <v>0</v>
      </c>
      <c r="E181" s="140">
        <v>0</v>
      </c>
      <c r="F181" s="140">
        <v>0</v>
      </c>
      <c r="G181" s="140">
        <v>0</v>
      </c>
      <c r="H181" s="140">
        <v>4</v>
      </c>
      <c r="I181" s="140">
        <v>4</v>
      </c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 t="s">
        <v>167</v>
      </c>
      <c r="D182" s="140">
        <v>13</v>
      </c>
      <c r="E182" s="140">
        <v>10</v>
      </c>
      <c r="F182" s="140">
        <v>6</v>
      </c>
      <c r="G182" s="140">
        <v>7</v>
      </c>
      <c r="H182" s="140">
        <v>4</v>
      </c>
      <c r="I182" s="140">
        <v>40</v>
      </c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0.95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0.22812499999999999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0.93522267206477716</v>
      </c>
      <c r="E186" s="3" t="str">
        <f>IF(NOT(ISNUMBER(D184)),"",IF(D184&lt;0.5,"Poor agreement",IF(D184&gt;=0.85,"Good agreement","Fair agreement")))</f>
        <v>Good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4.4334793451755297E-2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0.84832807363731466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1.0221172704922401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82"/>
      <c r="C198" s="282"/>
      <c r="D198" s="282"/>
      <c r="E198" s="282"/>
      <c r="F198" s="282"/>
      <c r="G198" s="282"/>
      <c r="H198" s="282"/>
    </row>
    <row r="199" spans="1:19" ht="18" customHeight="1" x14ac:dyDescent="0.25">
      <c r="B199" s="75" t="s">
        <v>314</v>
      </c>
    </row>
    <row r="200" spans="1:19" ht="18" customHeight="1" x14ac:dyDescent="0.25">
      <c r="B200" s="283"/>
      <c r="C200" s="28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5"/>
      <c r="C202" s="286"/>
      <c r="D202" s="286"/>
      <c r="E202" s="287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83"/>
      <c r="C204" s="288"/>
      <c r="D204" s="288"/>
      <c r="E204" s="28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83"/>
      <c r="C206" s="288"/>
      <c r="D206" s="288"/>
      <c r="E206" s="28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73" t="s">
        <v>2</v>
      </c>
      <c r="C210" s="289" t="s">
        <v>322</v>
      </c>
      <c r="D210" s="289" t="s">
        <v>323</v>
      </c>
      <c r="E210" s="289" t="s">
        <v>324</v>
      </c>
      <c r="F210" s="289" t="s">
        <v>325</v>
      </c>
      <c r="G210" s="273" t="s">
        <v>95</v>
      </c>
      <c r="H210" s="289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73"/>
      <c r="C211" s="289"/>
      <c r="D211" s="289"/>
      <c r="E211" s="289"/>
      <c r="F211" s="289"/>
      <c r="G211" s="273"/>
      <c r="H211" s="289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73"/>
      <c r="C212" s="289"/>
      <c r="D212" s="289"/>
      <c r="E212" s="289"/>
      <c r="F212" s="289"/>
      <c r="G212" s="273"/>
      <c r="H212" s="289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82"/>
      <c r="C238" s="282"/>
      <c r="D238" s="282"/>
      <c r="E238" s="282"/>
      <c r="F238" s="282"/>
      <c r="G238" s="282"/>
      <c r="H238" s="282"/>
    </row>
    <row r="239" spans="2:27" ht="18" customHeight="1" x14ac:dyDescent="0.25">
      <c r="B239" s="75" t="s">
        <v>314</v>
      </c>
    </row>
    <row r="240" spans="2:27" ht="18" customHeight="1" x14ac:dyDescent="0.25">
      <c r="B240" s="283"/>
      <c r="C240" s="28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90"/>
      <c r="C242" s="291"/>
      <c r="D242" s="291"/>
      <c r="E242" s="292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83"/>
      <c r="C244" s="288"/>
      <c r="D244" s="288"/>
      <c r="E244" s="28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83"/>
      <c r="C246" s="288"/>
      <c r="D246" s="288"/>
      <c r="E246" s="28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73" t="s">
        <v>355</v>
      </c>
      <c r="C250" s="289" t="s">
        <v>356</v>
      </c>
      <c r="D250" s="289" t="s">
        <v>324</v>
      </c>
      <c r="E250" s="289" t="s">
        <v>325</v>
      </c>
      <c r="F250" s="289" t="s">
        <v>357</v>
      </c>
      <c r="G250" s="273" t="s">
        <v>95</v>
      </c>
      <c r="H250" s="289" t="s">
        <v>358</v>
      </c>
      <c r="I250" s="289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73"/>
      <c r="C251" s="289"/>
      <c r="D251" s="289"/>
      <c r="E251" s="289"/>
      <c r="F251" s="289"/>
      <c r="G251" s="273"/>
      <c r="H251" s="289"/>
      <c r="I251" s="289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63"/>
      <c r="C284" s="263"/>
      <c r="D284" s="263"/>
      <c r="E284" s="160"/>
      <c r="F284" s="160"/>
    </row>
    <row r="285" spans="1:6" ht="18" customHeight="1" x14ac:dyDescent="0.25">
      <c r="B285" s="75" t="s">
        <v>368</v>
      </c>
      <c r="C285" s="10"/>
      <c r="D285" s="293"/>
      <c r="E285" s="293"/>
      <c r="F285" s="293"/>
    </row>
    <row r="286" spans="1:6" ht="18" customHeight="1" x14ac:dyDescent="0.25">
      <c r="B286" s="263"/>
      <c r="C286" s="263"/>
      <c r="D286" s="263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63"/>
      <c r="C288" s="263"/>
      <c r="D288" s="263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63"/>
      <c r="C290" s="263"/>
      <c r="D290" s="263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>
        <f>IF(ISNUMBER(D348),IF(D348&lt;$J8,$J4/D348,$J6),"")</f>
        <v>3.8863990324659672</v>
      </c>
      <c r="E349" s="192">
        <f>IF(ISNUMBER(E348),IF(E348&lt;$J8,$J4/E348,$J6),"")</f>
        <v>1.1152390772733478</v>
      </c>
      <c r="F349" s="192">
        <f>IF(ISNUMBER(F348),IF(F348&lt;$J8,$J4/F348,$J6),"")</f>
        <v>3.8863990324659672</v>
      </c>
      <c r="G349" s="192">
        <f>IF(ISNUMBER(G348),IF(G348&lt;$J8,$J4/G348,$J6),"")</f>
        <v>1.1152390772733478</v>
      </c>
      <c r="V349" s="104"/>
      <c r="W349" s="8"/>
    </row>
    <row r="350" spans="1:27" ht="18" customHeight="1" x14ac:dyDescent="0.25">
      <c r="C350" s="8" t="s">
        <v>397</v>
      </c>
      <c r="D350" s="193">
        <f>IF(ISNUMBER(D333),D349/D333,"")</f>
        <v>141.3139356444523</v>
      </c>
      <c r="E350" s="193">
        <f>IF(ISNUMBER(E333),E349/E333,"")</f>
        <v>50.947818373557276</v>
      </c>
      <c r="F350" s="193">
        <f>IF(ISNUMBER(F333),F349/F333,"")</f>
        <v>141.3139356444523</v>
      </c>
      <c r="G350" s="193">
        <f>IF(ISNUMBER(G333),G349/G333,"")</f>
        <v>50.947818373557276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>Good</v>
      </c>
      <c r="E351" s="194" t="str">
        <f>IF(ISNUMBER(E350),IF(E350&lt;4,"Poor",IF(AND(E350&gt;=4,E350&lt;6),"Acceptable",IF(E350&gt;6,"Good",""))),"")</f>
        <v>Good</v>
      </c>
      <c r="F351" s="194" t="str">
        <f>IF(ISNUMBER(F350),IF(F350&lt;4,"Poor",IF(AND(F350&gt;=4,F350&lt;6),"Acceptable",IF(F350&gt;6,"Good",""))),"")</f>
        <v>Good</v>
      </c>
      <c r="G351" s="194" t="str">
        <f>IF(ISNUMBER(G350),IF(G350&lt;4,"Poor",IF(AND(G350&gt;=4,G350&lt;6),"Acceptable",IF(G350&gt;6,"Good",""))),"")</f>
        <v>Good</v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>
        <v>0.04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>
        <v>7.9000000000000001E-2</v>
      </c>
      <c r="F356" s="10" t="s">
        <v>403</v>
      </c>
      <c r="G356" s="197">
        <f>IF(AND(ISNUMBER(D355),ISNUMBER(D356)),IF(D357="Optimal",0.25*D355,IF(D357="Desirable",0.5*D355,0.75*D355)),"")</f>
        <v>0.02</v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>
        <f>IF(AND(ISNUMBER(D355),ISNUMBER(D356)),G357+_xlfn.NORM.INV(1-D358,0,1)*G356,"")</f>
        <v>5.5034427846292311E-2</v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>
        <f>IF(AND(ISNUMBER($G356),ISNUMBER(X323)),$G356*X323,"")</f>
        <v>2.7114759777916744E-2</v>
      </c>
      <c r="E362" s="199">
        <f t="shared" ref="E362:G362" si="40">IF(AND(ISNUMBER($G356),ISNUMBER(Y323)),$G356*Y323,"")</f>
        <v>2.7114759777916744E-2</v>
      </c>
      <c r="F362" s="199">
        <f t="shared" si="40"/>
        <v>2.7114759777916744E-2</v>
      </c>
      <c r="G362" s="199">
        <f t="shared" si="40"/>
        <v>2.7114759777916744E-2</v>
      </c>
    </row>
    <row r="363" spans="1:27" ht="18" customHeight="1" x14ac:dyDescent="0.25">
      <c r="C363" s="8" t="s">
        <v>394</v>
      </c>
      <c r="D363" s="199">
        <f>IF(AND(ISNUMBER($G356),ISNUMBER(X324)),$G356*X324,"")</f>
        <v>3.0369010722237327E-2</v>
      </c>
      <c r="E363" s="199">
        <f t="shared" ref="E363:G363" si="41">IF(AND(ISNUMBER($G356),ISNUMBER(Y324)),$G356*Y324,"")</f>
        <v>3.4020651767619405E-2</v>
      </c>
      <c r="F363" s="199">
        <f t="shared" si="41"/>
        <v>3.0369010722237327E-2</v>
      </c>
      <c r="G363" s="199">
        <f t="shared" si="41"/>
        <v>3.4020651767619405E-2</v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>Pass</v>
      </c>
      <c r="E366" s="190" t="str">
        <f>IF(NOT(ISNUMBER(E362)),"",IF(E331&gt;E362,"Fail","Pass"))</f>
        <v>Pass</v>
      </c>
      <c r="F366" s="190" t="str">
        <f>IF(NOT(ISNUMBER(F362)),"",IF(F331&gt;F362,"Fail","Pass"))</f>
        <v>Pass</v>
      </c>
      <c r="G366" s="190" t="str">
        <f>IF(NOT(ISNUMBER(G362)),"",IF(G331&gt;G362,"Fail","Pass"))</f>
        <v>Pass</v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>Pass</v>
      </c>
      <c r="E367" s="190" t="str">
        <f>IF(NOT(ISNUMBER(E363)),"",IF(E333&gt;E363,"Fail","Pass"))</f>
        <v>Pass</v>
      </c>
      <c r="F367" s="190" t="str">
        <f>IF(NOT(ISNUMBER(F363)),"",IF(F333&gt;F363,"Fail","Pass"))</f>
        <v>Pass</v>
      </c>
      <c r="G367" s="190" t="str">
        <f>IF(NOT(ISNUMBER(G363)),"",IF(G333&gt;G363,"Fail","Pass"))</f>
        <v>Pass</v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99"/>
      <c r="C373" s="300"/>
      <c r="D373" s="300"/>
      <c r="E373" s="300"/>
      <c r="F373" s="300"/>
      <c r="G373" s="300"/>
      <c r="H373" s="300"/>
      <c r="I373" s="300"/>
      <c r="J373" s="300"/>
      <c r="K373" s="300"/>
      <c r="L373" s="300"/>
      <c r="M373" s="301"/>
    </row>
    <row r="374" spans="1:13" ht="18" customHeight="1" x14ac:dyDescent="0.25">
      <c r="A374" s="75"/>
      <c r="B374" s="302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4"/>
    </row>
    <row r="375" spans="1:13" ht="18" customHeight="1" x14ac:dyDescent="0.25">
      <c r="A375" s="75"/>
      <c r="B375" s="302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4"/>
    </row>
    <row r="376" spans="1:13" ht="18" customHeight="1" x14ac:dyDescent="0.25">
      <c r="A376" s="75"/>
      <c r="B376" s="305"/>
      <c r="C376" s="306"/>
      <c r="D376" s="306"/>
      <c r="E376" s="306"/>
      <c r="F376" s="306"/>
      <c r="G376" s="306"/>
      <c r="H376" s="306"/>
      <c r="I376" s="306"/>
      <c r="J376" s="306"/>
      <c r="K376" s="306"/>
      <c r="L376" s="306"/>
      <c r="M376" s="307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308"/>
      <c r="C435" s="309"/>
      <c r="D435" s="204"/>
      <c r="E435" s="308"/>
      <c r="F435" s="309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308"/>
      <c r="C437" s="309"/>
      <c r="D437" s="204"/>
      <c r="E437" s="308"/>
      <c r="F437" s="309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94" t="s">
        <v>501</v>
      </c>
      <c r="C441" s="294"/>
      <c r="D441" s="208">
        <v>0.9</v>
      </c>
      <c r="E441" s="209" t="str">
        <f>G4</f>
        <v>ng/L</v>
      </c>
    </row>
    <row r="442" spans="1:24" s="206" customFormat="1" ht="18" customHeight="1" x14ac:dyDescent="0.25"/>
    <row r="443" spans="1:24" s="202" customFormat="1" ht="18" customHeight="1" x14ac:dyDescent="0.25">
      <c r="C443" s="295" t="s">
        <v>502</v>
      </c>
      <c r="D443" s="295"/>
      <c r="E443" s="295"/>
      <c r="F443" s="295"/>
      <c r="G443" s="295"/>
      <c r="H443" s="210"/>
      <c r="I443" s="203"/>
      <c r="J443" s="211"/>
    </row>
    <row r="444" spans="1:24" s="202" customFormat="1" ht="18" customHeight="1" x14ac:dyDescent="0.25">
      <c r="C444" s="295"/>
      <c r="D444" s="295"/>
      <c r="E444" s="295"/>
      <c r="F444" s="295"/>
      <c r="G444" s="295"/>
      <c r="H444" s="210"/>
      <c r="I444" s="206"/>
      <c r="J444" s="296" t="s">
        <v>503</v>
      </c>
      <c r="K444" s="296"/>
      <c r="L444" s="296"/>
      <c r="M444" s="296"/>
      <c r="N444" s="296"/>
      <c r="O444" s="296"/>
      <c r="P444" s="296"/>
      <c r="Q444" s="296"/>
      <c r="V444" s="297" t="s">
        <v>504</v>
      </c>
      <c r="W444" s="297"/>
      <c r="X444" s="297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98" t="s">
        <v>509</v>
      </c>
      <c r="K445" s="298"/>
      <c r="L445" s="298"/>
      <c r="M445" s="298"/>
      <c r="N445" s="298" t="s">
        <v>510</v>
      </c>
      <c r="O445" s="298"/>
      <c r="P445" s="298"/>
      <c r="Q445" s="298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310" t="s">
        <v>100</v>
      </c>
      <c r="D446" s="215">
        <v>44857</v>
      </c>
      <c r="E446" s="216">
        <v>0.5</v>
      </c>
      <c r="F446" s="216">
        <v>0.8</v>
      </c>
      <c r="G446" s="216"/>
      <c r="J446" s="298">
        <v>20</v>
      </c>
      <c r="K446" s="298"/>
      <c r="L446" s="298"/>
      <c r="M446" s="298"/>
      <c r="N446" s="311">
        <f t="shared" ref="N446:N461" si="45">_xlfn.BINOM.INV(J446,0.95,0.05)/J446</f>
        <v>0.85</v>
      </c>
      <c r="O446" s="311"/>
      <c r="P446" s="311"/>
      <c r="Q446" s="311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310"/>
      <c r="D447" s="215">
        <v>44857</v>
      </c>
      <c r="E447" s="216">
        <v>0.5</v>
      </c>
      <c r="F447" s="216">
        <v>0.5</v>
      </c>
      <c r="G447" s="216"/>
      <c r="J447" s="298">
        <v>30</v>
      </c>
      <c r="K447" s="298"/>
      <c r="L447" s="298"/>
      <c r="M447" s="298"/>
      <c r="N447" s="311">
        <f t="shared" si="45"/>
        <v>0.8666666666666667</v>
      </c>
      <c r="O447" s="311"/>
      <c r="P447" s="311"/>
      <c r="Q447" s="311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310"/>
      <c r="D448" s="215">
        <v>44857</v>
      </c>
      <c r="E448" s="216">
        <v>0.6</v>
      </c>
      <c r="F448" s="216">
        <v>0.6</v>
      </c>
      <c r="G448" s="216"/>
      <c r="J448" s="298">
        <v>40</v>
      </c>
      <c r="K448" s="298"/>
      <c r="L448" s="298"/>
      <c r="M448" s="298"/>
      <c r="N448" s="311">
        <f t="shared" si="45"/>
        <v>0.9</v>
      </c>
      <c r="O448" s="311"/>
      <c r="P448" s="311"/>
      <c r="Q448" s="311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310" t="s">
        <v>102</v>
      </c>
      <c r="D449" s="215">
        <v>44858</v>
      </c>
      <c r="E449" s="216">
        <v>0.7</v>
      </c>
      <c r="F449" s="216">
        <v>0.7</v>
      </c>
      <c r="G449" s="216"/>
      <c r="J449" s="298">
        <v>50</v>
      </c>
      <c r="K449" s="298"/>
      <c r="L449" s="298"/>
      <c r="M449" s="298"/>
      <c r="N449" s="311">
        <f t="shared" si="45"/>
        <v>0.9</v>
      </c>
      <c r="O449" s="311"/>
      <c r="P449" s="311"/>
      <c r="Q449" s="311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310"/>
      <c r="D450" s="215">
        <v>44858</v>
      </c>
      <c r="E450" s="216">
        <v>0.7</v>
      </c>
      <c r="F450" s="216">
        <v>0.7</v>
      </c>
      <c r="G450" s="216"/>
      <c r="J450" s="298">
        <v>60</v>
      </c>
      <c r="K450" s="298"/>
      <c r="L450" s="298"/>
      <c r="M450" s="298"/>
      <c r="N450" s="311">
        <f t="shared" si="45"/>
        <v>0.9</v>
      </c>
      <c r="O450" s="311"/>
      <c r="P450" s="311"/>
      <c r="Q450" s="311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310"/>
      <c r="D451" s="215">
        <v>44858</v>
      </c>
      <c r="E451" s="216">
        <v>0.8</v>
      </c>
      <c r="F451" s="216">
        <v>0.9</v>
      </c>
      <c r="G451" s="216"/>
      <c r="J451" s="298">
        <v>70</v>
      </c>
      <c r="K451" s="298"/>
      <c r="L451" s="298"/>
      <c r="M451" s="298"/>
      <c r="N451" s="311">
        <f t="shared" si="45"/>
        <v>0.9</v>
      </c>
      <c r="O451" s="311"/>
      <c r="P451" s="311"/>
      <c r="Q451" s="311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310" t="s">
        <v>103</v>
      </c>
      <c r="D452" s="215">
        <v>44859</v>
      </c>
      <c r="E452" s="216">
        <v>0.5</v>
      </c>
      <c r="F452" s="216">
        <v>0.6</v>
      </c>
      <c r="G452" s="216"/>
      <c r="J452" s="298">
        <v>80</v>
      </c>
      <c r="K452" s="298"/>
      <c r="L452" s="298"/>
      <c r="M452" s="298"/>
      <c r="N452" s="311">
        <f t="shared" si="45"/>
        <v>0.91249999999999998</v>
      </c>
      <c r="O452" s="311"/>
      <c r="P452" s="311"/>
      <c r="Q452" s="311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310"/>
      <c r="D453" s="215">
        <v>44859</v>
      </c>
      <c r="E453" s="216">
        <v>0.4</v>
      </c>
      <c r="F453" s="216">
        <v>0.5</v>
      </c>
      <c r="G453" s="216"/>
      <c r="J453" s="298">
        <v>90</v>
      </c>
      <c r="K453" s="298"/>
      <c r="L453" s="298"/>
      <c r="M453" s="298"/>
      <c r="N453" s="311">
        <f t="shared" si="45"/>
        <v>0.91111111111111109</v>
      </c>
      <c r="O453" s="311"/>
      <c r="P453" s="311"/>
      <c r="Q453" s="311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310"/>
      <c r="D454" s="215">
        <v>44859</v>
      </c>
      <c r="E454" s="216">
        <v>0.6</v>
      </c>
      <c r="F454" s="216">
        <v>0.7</v>
      </c>
      <c r="G454" s="216"/>
      <c r="J454" s="298">
        <v>100</v>
      </c>
      <c r="K454" s="298"/>
      <c r="L454" s="298"/>
      <c r="M454" s="298"/>
      <c r="N454" s="311">
        <f t="shared" si="45"/>
        <v>0.91</v>
      </c>
      <c r="O454" s="311"/>
      <c r="P454" s="311"/>
      <c r="Q454" s="311"/>
      <c r="S454" s="313" t="s">
        <v>511</v>
      </c>
      <c r="T454" s="313"/>
      <c r="U454" s="214">
        <f>SUM(V445:X453)</f>
        <v>27</v>
      </c>
    </row>
    <row r="455" spans="1:24" s="202" customFormat="1" ht="18" customHeight="1" x14ac:dyDescent="0.25">
      <c r="J455" s="298">
        <v>150</v>
      </c>
      <c r="K455" s="298"/>
      <c r="L455" s="298"/>
      <c r="M455" s="298"/>
      <c r="N455" s="311">
        <f t="shared" si="45"/>
        <v>0.92</v>
      </c>
      <c r="O455" s="311"/>
      <c r="P455" s="311"/>
      <c r="Q455" s="311"/>
      <c r="S455" s="313" t="s">
        <v>512</v>
      </c>
      <c r="T455" s="313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98">
        <v>200</v>
      </c>
      <c r="K456" s="298"/>
      <c r="L456" s="298"/>
      <c r="M456" s="298"/>
      <c r="N456" s="311">
        <f t="shared" si="45"/>
        <v>0.92500000000000004</v>
      </c>
      <c r="O456" s="311"/>
      <c r="P456" s="311"/>
      <c r="Q456" s="311"/>
    </row>
    <row r="457" spans="1:24" s="202" customFormat="1" ht="18" customHeight="1" x14ac:dyDescent="0.25">
      <c r="B457" s="312" t="s">
        <v>514</v>
      </c>
      <c r="C457" s="312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98">
        <v>250</v>
      </c>
      <c r="K457" s="298"/>
      <c r="L457" s="298"/>
      <c r="M457" s="298"/>
      <c r="N457" s="311">
        <f t="shared" si="45"/>
        <v>0.92800000000000005</v>
      </c>
      <c r="O457" s="311"/>
      <c r="P457" s="311"/>
      <c r="Q457" s="311"/>
    </row>
    <row r="458" spans="1:24" s="202" customFormat="1" ht="18" customHeight="1" x14ac:dyDescent="0.25">
      <c r="B458" s="312" t="s">
        <v>516</v>
      </c>
      <c r="C458" s="312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98">
        <v>300</v>
      </c>
      <c r="K458" s="298"/>
      <c r="L458" s="298"/>
      <c r="M458" s="298"/>
      <c r="N458" s="311">
        <f t="shared" si="45"/>
        <v>0.93</v>
      </c>
      <c r="O458" s="311"/>
      <c r="P458" s="311"/>
      <c r="Q458" s="311"/>
    </row>
    <row r="459" spans="1:24" s="202" customFormat="1" ht="18" customHeight="1" x14ac:dyDescent="0.25">
      <c r="B459" s="312" t="s">
        <v>518</v>
      </c>
      <c r="C459" s="312"/>
      <c r="D459" s="214">
        <f>_xlfn.STDEV.P(E446:G454)</f>
        <v>0.12825995978461377</v>
      </c>
      <c r="J459" s="298">
        <v>400</v>
      </c>
      <c r="K459" s="298"/>
      <c r="L459" s="298"/>
      <c r="M459" s="298"/>
      <c r="N459" s="311">
        <f t="shared" si="45"/>
        <v>0.9325</v>
      </c>
      <c r="O459" s="311"/>
      <c r="P459" s="311"/>
      <c r="Q459" s="311"/>
    </row>
    <row r="460" spans="1:24" s="202" customFormat="1" ht="18" customHeight="1" x14ac:dyDescent="0.25">
      <c r="A460" s="317" t="s">
        <v>519</v>
      </c>
      <c r="B460" s="317"/>
      <c r="C460" s="317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98">
        <v>500</v>
      </c>
      <c r="K460" s="298"/>
      <c r="L460" s="298"/>
      <c r="M460" s="298"/>
      <c r="N460" s="311">
        <f t="shared" si="45"/>
        <v>0.93400000000000005</v>
      </c>
      <c r="O460" s="311"/>
      <c r="P460" s="311"/>
      <c r="Q460" s="311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98">
        <v>1000</v>
      </c>
      <c r="K461" s="298"/>
      <c r="L461" s="298"/>
      <c r="M461" s="298"/>
      <c r="N461" s="311">
        <f t="shared" si="45"/>
        <v>0.93799999999999994</v>
      </c>
      <c r="O461" s="311"/>
      <c r="P461" s="311"/>
      <c r="Q461" s="311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94" t="s">
        <v>522</v>
      </c>
      <c r="C467" s="294"/>
      <c r="D467" s="223">
        <v>1.1000000000000001</v>
      </c>
      <c r="E467" s="209" t="str">
        <f>G4</f>
        <v>ng/L</v>
      </c>
    </row>
    <row r="468" spans="2:24" s="202" customFormat="1" ht="18" customHeight="1" x14ac:dyDescent="0.25">
      <c r="K468" s="224"/>
      <c r="L468" s="224"/>
      <c r="M468" s="224"/>
      <c r="V468" s="314" t="s">
        <v>523</v>
      </c>
      <c r="W468" s="314"/>
      <c r="X468" s="314"/>
    </row>
    <row r="469" spans="2:24" s="202" customFormat="1" ht="18" customHeight="1" x14ac:dyDescent="0.25">
      <c r="C469" s="315" t="s">
        <v>524</v>
      </c>
      <c r="D469" s="315"/>
      <c r="E469" s="315"/>
      <c r="F469" s="315"/>
      <c r="G469" s="315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315"/>
      <c r="D470" s="315"/>
      <c r="E470" s="315"/>
      <c r="F470" s="315"/>
      <c r="G470" s="315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316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316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316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316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316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316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316" t="s">
        <v>103</v>
      </c>
      <c r="D478" s="215">
        <v>44859</v>
      </c>
      <c r="E478" s="216">
        <v>1.2</v>
      </c>
      <c r="F478" s="216">
        <v>1.1000000000000001</v>
      </c>
      <c r="G478" s="216"/>
      <c r="S478" s="313" t="s">
        <v>526</v>
      </c>
      <c r="T478" s="313"/>
      <c r="U478" s="214">
        <f>SUM(V469:X477)</f>
        <v>17</v>
      </c>
    </row>
    <row r="479" spans="2:24" s="202" customFormat="1" ht="18" customHeight="1" x14ac:dyDescent="0.25">
      <c r="C479" s="316"/>
      <c r="D479" s="215">
        <v>44859</v>
      </c>
      <c r="E479" s="216">
        <v>1.1000000000000001</v>
      </c>
      <c r="F479" s="216">
        <v>0.9</v>
      </c>
      <c r="G479" s="216"/>
      <c r="S479" s="313" t="s">
        <v>527</v>
      </c>
      <c r="T479" s="313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316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312" t="s">
        <v>514</v>
      </c>
      <c r="C483" s="312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312" t="s">
        <v>529</v>
      </c>
      <c r="C484" s="312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319" t="s">
        <v>532</v>
      </c>
      <c r="C492" s="319"/>
      <c r="D492" s="223">
        <v>1.5</v>
      </c>
      <c r="E492" s="209" t="str">
        <f>G4</f>
        <v>ng/L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320" t="s">
        <v>533</v>
      </c>
      <c r="D495" s="320"/>
      <c r="E495" s="320"/>
      <c r="F495" s="320"/>
      <c r="G495" s="320"/>
    </row>
    <row r="496" spans="1:12" s="202" customFormat="1" ht="18" customHeight="1" x14ac:dyDescent="0.25">
      <c r="C496" s="320"/>
      <c r="D496" s="320"/>
      <c r="E496" s="320"/>
      <c r="F496" s="320"/>
      <c r="G496" s="320"/>
      <c r="J496" s="297" t="s">
        <v>534</v>
      </c>
      <c r="K496" s="297"/>
      <c r="L496" s="297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97" t="s">
        <v>536</v>
      </c>
      <c r="S497" s="297"/>
      <c r="T497" s="297"/>
      <c r="V497" s="297" t="s">
        <v>537</v>
      </c>
      <c r="W497" s="297"/>
      <c r="X497" s="297"/>
    </row>
    <row r="498" spans="2:24" s="202" customFormat="1" ht="18" customHeight="1" x14ac:dyDescent="0.25">
      <c r="C498" s="316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316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316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316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316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316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316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316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316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321" t="s">
        <v>538</v>
      </c>
      <c r="D507" s="321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317" t="s">
        <v>539</v>
      </c>
      <c r="P507" s="317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317" t="s">
        <v>540</v>
      </c>
      <c r="P508" s="317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318"/>
      <c r="W510" s="318"/>
      <c r="X510" s="318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312" t="s">
        <v>514</v>
      </c>
      <c r="C512" s="312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312" t="s">
        <v>542</v>
      </c>
      <c r="C513" s="312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312" t="s">
        <v>543</v>
      </c>
      <c r="B514" s="312"/>
      <c r="C514" s="312"/>
      <c r="D514" s="227">
        <f>AVERAGE(E507:G507)</f>
        <v>15.222222222222221</v>
      </c>
    </row>
    <row r="515" spans="1:7" s="202" customFormat="1" ht="18" customHeight="1" x14ac:dyDescent="0.25">
      <c r="A515" s="318"/>
      <c r="B515" s="318"/>
      <c r="C515" s="318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313" t="s">
        <v>544</v>
      </c>
      <c r="C516" s="313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71" priority="28" operator="greaterThan">
      <formula>1.1</formula>
    </cfRule>
    <cfRule type="cellIs" dxfId="70" priority="27" operator="lessThan">
      <formula>0.9</formula>
    </cfRule>
    <cfRule type="cellIs" dxfId="69" priority="26" operator="between">
      <formula>0.9</formula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7" operator="containsText" text="Poor">
      <formula>NOT(ISERROR(SEARCH("Poor",D351)))</formula>
    </cfRule>
    <cfRule type="containsText" dxfId="54" priority="16" operator="containsText" text="Acceptable">
      <formula>NOT(ISERROR(SEARCH("Acceptable",D351)))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1" operator="equal">
      <formula>"Pass"</formula>
    </cfRule>
    <cfRule type="cellIs" dxfId="44" priority="20" operator="equal">
      <formula>"Fail"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A0D2BEE9-A0BD-4C69-84C1-BBCD233E3FB8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9298B4-FAC6-408E-BBD5-81C2652A1748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0C45965-26FF-4B53-9934-ED560FA680B9}">
      <formula1>0</formula1>
      <formula2>0</formula2>
    </dataValidation>
    <dataValidation allowBlank="1" showErrorMessage="1" prompt="Enter required information" sqref="E46:G46" xr:uid="{CB650D9E-E829-4049-B3B9-0271A6D1FD44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FD5F51F-B12D-43F9-B658-5F1F032627B2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0EB0E708-3661-476B-971B-92DBAB6DAAB7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0B4C02CC-5A87-4218-8C03-62A85F075F89}">
      <formula1>0</formula1>
      <formula2>0</formula2>
    </dataValidation>
    <dataValidation allowBlank="1" showInputMessage="1" showErrorMessage="1" prompt="Enter required information" sqref="B42:B45 D48" xr:uid="{88CCA057-CDFB-4BD9-BBFE-58CBA8761999}">
      <formula1>0</formula1>
      <formula2>0</formula2>
    </dataValidation>
    <dataValidation type="list" allowBlank="1" showInputMessage="1" showErrorMessage="1" sqref="D357" xr:uid="{DE477180-8F0B-418F-8532-6A3612764C4B}">
      <formula1>"Optimal,Desirable,Minimal"</formula1>
    </dataValidation>
    <dataValidation type="list" allowBlank="1" showInputMessage="1" showErrorMessage="1" sqref="J61:J160" xr:uid="{A10EADFA-BD73-4E27-AD96-EF5DB06A6CD9}">
      <formula1>"INCLUDE,EXCLUDE"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2D78-4398-4FEC-B4DD-874D5D114445}">
  <dimension ref="A1:BC518"/>
  <sheetViews>
    <sheetView topLeftCell="A37" zoomScale="80" zoomScaleNormal="80" workbookViewId="0">
      <selection activeCell="B90" sqref="B90:C90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63" t="s">
        <v>262</v>
      </c>
      <c r="C4" s="263"/>
      <c r="D4" s="263"/>
      <c r="E4" s="263"/>
      <c r="G4" s="79" t="e">
        <v>#REF!</v>
      </c>
      <c r="H4" s="80"/>
      <c r="J4" s="81" t="e">
        <v>#REF!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40" t="s">
        <v>265</v>
      </c>
      <c r="C6" s="242"/>
      <c r="D6" s="84"/>
      <c r="E6" s="84"/>
      <c r="G6" s="8"/>
      <c r="H6" s="80"/>
      <c r="J6" s="85" t="e">
        <v>#REF!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264" t="s">
        <v>268</v>
      </c>
      <c r="C8" s="264"/>
      <c r="D8" s="264"/>
      <c r="E8" s="264"/>
      <c r="F8" s="264"/>
      <c r="G8" s="264"/>
      <c r="H8" s="264"/>
      <c r="J8" s="81" t="e">
        <v>#REF!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264" t="s">
        <v>270</v>
      </c>
      <c r="C10" s="264"/>
      <c r="D10" s="264"/>
      <c r="E10" s="264"/>
      <c r="F10" s="264"/>
      <c r="G10" s="264"/>
      <c r="H10" s="264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65"/>
      <c r="C12" s="266"/>
      <c r="D12" s="266"/>
      <c r="E12" s="267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268" t="s">
        <v>273</v>
      </c>
      <c r="C14" s="268"/>
      <c r="D14" s="268"/>
      <c r="E14" s="268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40"/>
      <c r="C16" s="241"/>
      <c r="D16" s="241"/>
      <c r="E16" s="242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243"/>
      <c r="C19" s="244"/>
      <c r="D19" s="244"/>
      <c r="E19" s="244"/>
      <c r="F19" s="244"/>
      <c r="G19" s="244"/>
      <c r="H19" s="244"/>
      <c r="I19" s="244"/>
      <c r="J19" s="245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246"/>
      <c r="C20" s="247"/>
      <c r="D20" s="247"/>
      <c r="E20" s="247"/>
      <c r="F20" s="247"/>
      <c r="G20" s="247"/>
      <c r="H20" s="247"/>
      <c r="I20" s="247"/>
      <c r="J20" s="248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246"/>
      <c r="C21" s="247"/>
      <c r="D21" s="247"/>
      <c r="E21" s="247"/>
      <c r="F21" s="247"/>
      <c r="G21" s="247"/>
      <c r="H21" s="247"/>
      <c r="I21" s="247"/>
      <c r="J21" s="248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246"/>
      <c r="C22" s="247"/>
      <c r="D22" s="247"/>
      <c r="E22" s="247"/>
      <c r="F22" s="247"/>
      <c r="G22" s="247"/>
      <c r="H22" s="247"/>
      <c r="I22" s="247"/>
      <c r="J22" s="248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246"/>
      <c r="C23" s="247"/>
      <c r="D23" s="247"/>
      <c r="E23" s="247"/>
      <c r="F23" s="247"/>
      <c r="G23" s="247"/>
      <c r="H23" s="247"/>
      <c r="I23" s="247"/>
      <c r="J23" s="248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246"/>
      <c r="C24" s="247"/>
      <c r="D24" s="247"/>
      <c r="E24" s="247"/>
      <c r="F24" s="247"/>
      <c r="G24" s="247"/>
      <c r="H24" s="247"/>
      <c r="I24" s="247"/>
      <c r="J24" s="248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249"/>
      <c r="C25" s="250"/>
      <c r="D25" s="250"/>
      <c r="E25" s="250"/>
      <c r="F25" s="250"/>
      <c r="G25" s="250"/>
      <c r="H25" s="250"/>
      <c r="I25" s="250"/>
      <c r="J25" s="251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252"/>
      <c r="C28" s="253"/>
      <c r="D28" s="253"/>
      <c r="E28" s="253"/>
      <c r="F28" s="253"/>
      <c r="G28" s="253"/>
      <c r="H28" s="253"/>
      <c r="I28" s="253"/>
      <c r="J28" s="254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255"/>
      <c r="C29" s="256"/>
      <c r="D29" s="256"/>
      <c r="E29" s="256"/>
      <c r="F29" s="256"/>
      <c r="G29" s="256"/>
      <c r="H29" s="256"/>
      <c r="I29" s="256"/>
      <c r="J29" s="257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258"/>
      <c r="C30" s="259"/>
      <c r="D30" s="259"/>
      <c r="E30" s="259"/>
      <c r="F30" s="259"/>
      <c r="G30" s="259"/>
      <c r="H30" s="259"/>
      <c r="I30" s="259"/>
      <c r="J30" s="260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40"/>
      <c r="C33" s="241"/>
      <c r="D33" s="241"/>
      <c r="E33" s="242"/>
      <c r="F33" s="100"/>
      <c r="G33" s="100"/>
      <c r="I33" s="261"/>
      <c r="J33" s="262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261"/>
      <c r="C36" s="262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65"/>
      <c r="C41" s="266"/>
      <c r="D41" s="266"/>
      <c r="E41" s="266"/>
      <c r="F41" s="266"/>
      <c r="G41" s="266"/>
      <c r="H41" s="267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65"/>
      <c r="C43" s="266"/>
      <c r="D43" s="266"/>
      <c r="E43" s="266"/>
      <c r="F43" s="266"/>
      <c r="G43" s="266"/>
      <c r="H43" s="267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65"/>
      <c r="C45" s="266"/>
      <c r="D45" s="266"/>
      <c r="E45" s="267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74" t="s">
        <v>0</v>
      </c>
      <c r="E54" s="274"/>
      <c r="F54" s="274"/>
      <c r="G54" s="274" t="s">
        <v>1</v>
      </c>
      <c r="H54" s="274"/>
      <c r="I54" s="274"/>
    </row>
    <row r="55" spans="2:55" ht="18" customHeight="1" x14ac:dyDescent="0.25">
      <c r="B55" s="269" t="s">
        <v>287</v>
      </c>
      <c r="C55" s="270"/>
      <c r="D55" s="271"/>
      <c r="E55" s="271"/>
      <c r="F55" s="271"/>
      <c r="G55" s="271"/>
      <c r="H55" s="271"/>
      <c r="I55" s="271"/>
    </row>
    <row r="56" spans="2:55" ht="18" customHeight="1" x14ac:dyDescent="0.25">
      <c r="B56" s="269" t="s">
        <v>288</v>
      </c>
      <c r="C56" s="270"/>
      <c r="D56" s="271"/>
      <c r="E56" s="271"/>
      <c r="F56" s="271"/>
      <c r="G56" s="271"/>
      <c r="H56" s="271"/>
      <c r="I56" s="27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72" t="s">
        <v>0</v>
      </c>
      <c r="E59" s="272"/>
      <c r="F59" s="272"/>
      <c r="G59" s="272" t="s">
        <v>1</v>
      </c>
      <c r="H59" s="272"/>
      <c r="I59" s="27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73" t="s">
        <v>2</v>
      </c>
      <c r="C60" s="273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78" t="s">
        <v>291</v>
      </c>
      <c r="L60" s="279"/>
      <c r="M60" s="280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322">
        <v>1000</v>
      </c>
      <c r="C61" s="322"/>
      <c r="D61" s="9"/>
      <c r="E61" s="129" t="s">
        <v>241</v>
      </c>
      <c r="F61" s="129"/>
      <c r="G61" s="9"/>
      <c r="H61" s="129" t="s">
        <v>241</v>
      </c>
      <c r="I61" s="9"/>
      <c r="J61" s="130" t="s">
        <v>299</v>
      </c>
      <c r="K61" s="277"/>
      <c r="L61" s="277"/>
      <c r="M61" s="277"/>
      <c r="O61" s="131" t="str">
        <f t="shared" ref="O61:O124" si="0">IF($J61="INCLUDE",E61,"")</f>
        <v>A</v>
      </c>
      <c r="P61" s="132" t="str">
        <f t="shared" ref="P61:P124" si="1">IF(AND($J61="INCLUDE",ISNUMBER(F61)),F61,"")</f>
        <v/>
      </c>
      <c r="Q61" s="132" t="e">
        <f t="shared" ref="Q61:Q124" si="2">IF($J61="INCLUDE",AVERAGE(O61:P61),"")</f>
        <v>#DIV/0!</v>
      </c>
      <c r="R61" s="132" t="str">
        <f t="shared" ref="R61:R124" si="3">IF($J61="INCLUDE",H61,"")</f>
        <v>A</v>
      </c>
      <c r="S61" s="132" t="str">
        <f t="shared" ref="S61:S124" si="4">IF(AND($J61="INCLUDE",ISNUMBER(I61)),I61,"")</f>
        <v/>
      </c>
      <c r="T61" s="132" t="e">
        <f t="shared" ref="T61:T124" si="5">IF($J61="INCLUDE",AVERAGE(R61:S61),"")</f>
        <v>#DIV/0!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322">
        <v>1001</v>
      </c>
      <c r="C62" s="322"/>
      <c r="D62" s="9"/>
      <c r="E62" s="129" t="s">
        <v>241</v>
      </c>
      <c r="F62" s="9"/>
      <c r="G62" s="9"/>
      <c r="H62" s="9" t="s">
        <v>241</v>
      </c>
      <c r="I62" s="9"/>
      <c r="J62" s="130" t="s">
        <v>299</v>
      </c>
      <c r="K62" s="277"/>
      <c r="L62" s="277"/>
      <c r="M62" s="277"/>
      <c r="O62" s="131" t="str">
        <f t="shared" si="0"/>
        <v>A</v>
      </c>
      <c r="P62" s="132" t="str">
        <f t="shared" si="1"/>
        <v/>
      </c>
      <c r="Q62" s="132" t="e">
        <f t="shared" si="2"/>
        <v>#DIV/0!</v>
      </c>
      <c r="R62" s="132" t="str">
        <f t="shared" si="3"/>
        <v>A</v>
      </c>
      <c r="S62" s="132" t="str">
        <f t="shared" si="4"/>
        <v/>
      </c>
      <c r="T62" s="132" t="e">
        <f t="shared" si="5"/>
        <v>#DIV/0!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322">
        <v>1002</v>
      </c>
      <c r="C63" s="322"/>
      <c r="D63" s="9"/>
      <c r="E63" s="129" t="s">
        <v>241</v>
      </c>
      <c r="F63" s="9"/>
      <c r="G63" s="9"/>
      <c r="H63" s="9" t="s">
        <v>241</v>
      </c>
      <c r="I63" s="9"/>
      <c r="J63" s="130" t="s">
        <v>299</v>
      </c>
      <c r="K63" s="277"/>
      <c r="L63" s="277"/>
      <c r="M63" s="277"/>
      <c r="O63" s="131" t="str">
        <f t="shared" si="0"/>
        <v>A</v>
      </c>
      <c r="P63" s="132" t="str">
        <f t="shared" si="1"/>
        <v/>
      </c>
      <c r="Q63" s="132" t="e">
        <f t="shared" si="2"/>
        <v>#DIV/0!</v>
      </c>
      <c r="R63" s="132" t="str">
        <f t="shared" si="3"/>
        <v>A</v>
      </c>
      <c r="S63" s="132" t="str">
        <f t="shared" si="4"/>
        <v/>
      </c>
      <c r="T63" s="132" t="e">
        <f t="shared" si="5"/>
        <v>#DIV/0!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322">
        <v>1003</v>
      </c>
      <c r="C64" s="322"/>
      <c r="D64" s="9"/>
      <c r="E64" s="129" t="s">
        <v>241</v>
      </c>
      <c r="F64" s="129"/>
      <c r="G64" s="9"/>
      <c r="H64" s="129" t="s">
        <v>241</v>
      </c>
      <c r="I64" s="9"/>
      <c r="J64" s="130" t="s">
        <v>299</v>
      </c>
      <c r="K64" s="277"/>
      <c r="L64" s="277"/>
      <c r="M64" s="277"/>
      <c r="O64" s="131" t="str">
        <f t="shared" si="0"/>
        <v>A</v>
      </c>
      <c r="P64" s="132" t="str">
        <f t="shared" si="1"/>
        <v/>
      </c>
      <c r="Q64" s="132" t="e">
        <f t="shared" si="2"/>
        <v>#DIV/0!</v>
      </c>
      <c r="R64" s="132" t="str">
        <f t="shared" si="3"/>
        <v>A</v>
      </c>
      <c r="S64" s="132" t="str">
        <f t="shared" si="4"/>
        <v/>
      </c>
      <c r="T64" s="132" t="e">
        <f t="shared" si="5"/>
        <v>#DIV/0!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322">
        <v>1004</v>
      </c>
      <c r="C65" s="322"/>
      <c r="D65" s="9"/>
      <c r="E65" s="129" t="s">
        <v>241</v>
      </c>
      <c r="F65" s="9"/>
      <c r="G65" s="9"/>
      <c r="H65" s="9" t="s">
        <v>241</v>
      </c>
      <c r="I65" s="9"/>
      <c r="J65" s="130" t="s">
        <v>299</v>
      </c>
      <c r="K65" s="277"/>
      <c r="L65" s="277"/>
      <c r="M65" s="277"/>
      <c r="O65" s="131" t="str">
        <f t="shared" si="0"/>
        <v>A</v>
      </c>
      <c r="P65" s="132" t="str">
        <f t="shared" si="1"/>
        <v/>
      </c>
      <c r="Q65" s="132" t="e">
        <f t="shared" si="2"/>
        <v>#DIV/0!</v>
      </c>
      <c r="R65" s="132" t="str">
        <f t="shared" si="3"/>
        <v>A</v>
      </c>
      <c r="S65" s="132" t="str">
        <f t="shared" si="4"/>
        <v/>
      </c>
      <c r="T65" s="132" t="e">
        <f t="shared" si="5"/>
        <v>#DIV/0!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322">
        <v>1005</v>
      </c>
      <c r="C66" s="322"/>
      <c r="D66" s="9"/>
      <c r="E66" s="129" t="s">
        <v>241</v>
      </c>
      <c r="F66" s="9"/>
      <c r="G66" s="9"/>
      <c r="H66" s="9" t="s">
        <v>241</v>
      </c>
      <c r="I66" s="9"/>
      <c r="J66" s="130" t="s">
        <v>299</v>
      </c>
      <c r="K66" s="277"/>
      <c r="L66" s="277"/>
      <c r="M66" s="277"/>
      <c r="O66" s="131" t="str">
        <f t="shared" si="0"/>
        <v>A</v>
      </c>
      <c r="P66" s="132" t="str">
        <f t="shared" si="1"/>
        <v/>
      </c>
      <c r="Q66" s="132" t="e">
        <f t="shared" si="2"/>
        <v>#DIV/0!</v>
      </c>
      <c r="R66" s="132" t="str">
        <f t="shared" si="3"/>
        <v>A</v>
      </c>
      <c r="S66" s="132" t="str">
        <f t="shared" si="4"/>
        <v/>
      </c>
      <c r="T66" s="132" t="e">
        <f t="shared" si="5"/>
        <v>#DIV/0!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322">
        <v>1006</v>
      </c>
      <c r="C67" s="322"/>
      <c r="D67" s="9"/>
      <c r="E67" s="129" t="s">
        <v>241</v>
      </c>
      <c r="F67" s="129"/>
      <c r="G67" s="9"/>
      <c r="H67" s="129" t="s">
        <v>241</v>
      </c>
      <c r="I67" s="9"/>
      <c r="J67" s="130" t="s">
        <v>299</v>
      </c>
      <c r="K67" s="277"/>
      <c r="L67" s="277"/>
      <c r="M67" s="277"/>
      <c r="O67" s="131" t="str">
        <f t="shared" si="0"/>
        <v>A</v>
      </c>
      <c r="P67" s="132" t="str">
        <f t="shared" si="1"/>
        <v/>
      </c>
      <c r="Q67" s="132" t="e">
        <f t="shared" si="2"/>
        <v>#DIV/0!</v>
      </c>
      <c r="R67" s="132" t="str">
        <f t="shared" si="3"/>
        <v>A</v>
      </c>
      <c r="S67" s="132" t="str">
        <f t="shared" si="4"/>
        <v/>
      </c>
      <c r="T67" s="132" t="e">
        <f t="shared" si="5"/>
        <v>#DIV/0!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322">
        <v>1007</v>
      </c>
      <c r="C68" s="322"/>
      <c r="D68" s="9"/>
      <c r="E68" s="129" t="s">
        <v>241</v>
      </c>
      <c r="F68" s="129"/>
      <c r="G68" s="9"/>
      <c r="H68" s="129" t="s">
        <v>241</v>
      </c>
      <c r="I68" s="9"/>
      <c r="J68" s="130" t="s">
        <v>299</v>
      </c>
      <c r="K68" s="277"/>
      <c r="L68" s="277"/>
      <c r="M68" s="277"/>
      <c r="O68" s="131" t="str">
        <f t="shared" si="0"/>
        <v>A</v>
      </c>
      <c r="P68" s="132" t="str">
        <f t="shared" si="1"/>
        <v/>
      </c>
      <c r="Q68" s="132" t="e">
        <f t="shared" si="2"/>
        <v>#DIV/0!</v>
      </c>
      <c r="R68" s="132" t="str">
        <f t="shared" si="3"/>
        <v>A</v>
      </c>
      <c r="S68" s="132" t="str">
        <f t="shared" si="4"/>
        <v/>
      </c>
      <c r="T68" s="132" t="e">
        <f t="shared" si="5"/>
        <v>#DIV/0!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322">
        <v>1008</v>
      </c>
      <c r="C69" s="322"/>
      <c r="D69" s="9"/>
      <c r="E69" s="129" t="s">
        <v>241</v>
      </c>
      <c r="F69" s="9"/>
      <c r="G69" s="9"/>
      <c r="H69" s="9" t="s">
        <v>240</v>
      </c>
      <c r="I69" s="9"/>
      <c r="J69" s="130" t="s">
        <v>299</v>
      </c>
      <c r="K69" s="277"/>
      <c r="L69" s="277"/>
      <c r="M69" s="277"/>
      <c r="O69" s="131" t="str">
        <f t="shared" si="0"/>
        <v>A</v>
      </c>
      <c r="P69" s="132" t="str">
        <f t="shared" si="1"/>
        <v/>
      </c>
      <c r="Q69" s="132" t="e">
        <f t="shared" si="2"/>
        <v>#DIV/0!</v>
      </c>
      <c r="R69" s="132" t="str">
        <f t="shared" si="3"/>
        <v>B</v>
      </c>
      <c r="S69" s="132" t="str">
        <f t="shared" si="4"/>
        <v/>
      </c>
      <c r="T69" s="132" t="e">
        <f t="shared" si="5"/>
        <v>#DIV/0!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322">
        <v>1009</v>
      </c>
      <c r="C70" s="322"/>
      <c r="D70" s="9"/>
      <c r="E70" s="129" t="s">
        <v>241</v>
      </c>
      <c r="F70" s="129"/>
      <c r="G70" s="9"/>
      <c r="H70" s="129" t="s">
        <v>240</v>
      </c>
      <c r="I70" s="9"/>
      <c r="J70" s="130" t="s">
        <v>299</v>
      </c>
      <c r="K70" s="277"/>
      <c r="L70" s="277"/>
      <c r="M70" s="277"/>
      <c r="O70" s="131" t="str">
        <f t="shared" si="0"/>
        <v>A</v>
      </c>
      <c r="P70" s="132" t="str">
        <f t="shared" si="1"/>
        <v/>
      </c>
      <c r="Q70" s="132" t="e">
        <f t="shared" si="2"/>
        <v>#DIV/0!</v>
      </c>
      <c r="R70" s="132" t="str">
        <f t="shared" si="3"/>
        <v>B</v>
      </c>
      <c r="S70" s="132" t="str">
        <f t="shared" si="4"/>
        <v/>
      </c>
      <c r="T70" s="132" t="e">
        <f t="shared" si="5"/>
        <v>#DIV/0!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322">
        <v>1010</v>
      </c>
      <c r="C71" s="322"/>
      <c r="D71" s="9"/>
      <c r="E71" s="129" t="s">
        <v>240</v>
      </c>
      <c r="F71" s="129"/>
      <c r="G71" s="9"/>
      <c r="H71" s="129" t="s">
        <v>241</v>
      </c>
      <c r="I71" s="9"/>
      <c r="J71" s="130" t="s">
        <v>299</v>
      </c>
      <c r="K71" s="277"/>
      <c r="L71" s="277"/>
      <c r="M71" s="277"/>
      <c r="O71" s="131" t="str">
        <f t="shared" si="0"/>
        <v>B</v>
      </c>
      <c r="P71" s="132" t="str">
        <f t="shared" si="1"/>
        <v/>
      </c>
      <c r="Q71" s="132" t="e">
        <f t="shared" si="2"/>
        <v>#DIV/0!</v>
      </c>
      <c r="R71" s="132" t="str">
        <f t="shared" si="3"/>
        <v>A</v>
      </c>
      <c r="S71" s="132" t="str">
        <f t="shared" si="4"/>
        <v/>
      </c>
      <c r="T71" s="132" t="e">
        <f t="shared" si="5"/>
        <v>#DIV/0!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322">
        <v>1011</v>
      </c>
      <c r="C72" s="322"/>
      <c r="D72" s="9"/>
      <c r="E72" s="129" t="s">
        <v>240</v>
      </c>
      <c r="F72" s="129"/>
      <c r="G72" s="9"/>
      <c r="H72" s="129" t="s">
        <v>240</v>
      </c>
      <c r="I72" s="9"/>
      <c r="J72" s="130" t="s">
        <v>299</v>
      </c>
      <c r="K72" s="277"/>
      <c r="L72" s="277"/>
      <c r="M72" s="277"/>
      <c r="O72" s="131" t="str">
        <f t="shared" si="0"/>
        <v>B</v>
      </c>
      <c r="P72" s="132" t="str">
        <f t="shared" si="1"/>
        <v/>
      </c>
      <c r="Q72" s="132" t="e">
        <f t="shared" si="2"/>
        <v>#DIV/0!</v>
      </c>
      <c r="R72" s="132" t="str">
        <f t="shared" si="3"/>
        <v>B</v>
      </c>
      <c r="S72" s="132" t="str">
        <f t="shared" si="4"/>
        <v/>
      </c>
      <c r="T72" s="132" t="e">
        <f t="shared" si="5"/>
        <v>#DIV/0!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322">
        <v>1012</v>
      </c>
      <c r="C73" s="322"/>
      <c r="D73" s="9"/>
      <c r="E73" s="129" t="s">
        <v>240</v>
      </c>
      <c r="F73" s="129"/>
      <c r="G73" s="9"/>
      <c r="H73" s="129" t="s">
        <v>240</v>
      </c>
      <c r="I73" s="9"/>
      <c r="J73" s="130" t="s">
        <v>299</v>
      </c>
      <c r="K73" s="277"/>
      <c r="L73" s="277"/>
      <c r="M73" s="277"/>
      <c r="O73" s="131" t="str">
        <f t="shared" si="0"/>
        <v>B</v>
      </c>
      <c r="P73" s="132" t="str">
        <f t="shared" si="1"/>
        <v/>
      </c>
      <c r="Q73" s="132" t="e">
        <f t="shared" si="2"/>
        <v>#DIV/0!</v>
      </c>
      <c r="R73" s="132" t="str">
        <f t="shared" si="3"/>
        <v>B</v>
      </c>
      <c r="S73" s="132" t="str">
        <f t="shared" si="4"/>
        <v/>
      </c>
      <c r="T73" s="132" t="e">
        <f t="shared" si="5"/>
        <v>#DIV/0!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322">
        <v>1013</v>
      </c>
      <c r="C74" s="322"/>
      <c r="D74" s="9"/>
      <c r="E74" s="129" t="s">
        <v>240</v>
      </c>
      <c r="F74" s="9"/>
      <c r="G74" s="9"/>
      <c r="H74" s="9" t="s">
        <v>240</v>
      </c>
      <c r="I74" s="9"/>
      <c r="J74" s="130" t="s">
        <v>299</v>
      </c>
      <c r="K74" s="277"/>
      <c r="L74" s="277"/>
      <c r="M74" s="277"/>
      <c r="O74" s="131" t="str">
        <f t="shared" si="0"/>
        <v>B</v>
      </c>
      <c r="P74" s="132" t="str">
        <f t="shared" si="1"/>
        <v/>
      </c>
      <c r="Q74" s="132" t="e">
        <f t="shared" si="2"/>
        <v>#DIV/0!</v>
      </c>
      <c r="R74" s="132" t="str">
        <f t="shared" si="3"/>
        <v>B</v>
      </c>
      <c r="S74" s="132" t="str">
        <f t="shared" si="4"/>
        <v/>
      </c>
      <c r="T74" s="132" t="e">
        <f t="shared" si="5"/>
        <v>#DIV/0!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322">
        <v>1014</v>
      </c>
      <c r="C75" s="322"/>
      <c r="D75" s="9"/>
      <c r="E75" s="133" t="s">
        <v>240</v>
      </c>
      <c r="F75" s="129"/>
      <c r="G75" s="9"/>
      <c r="H75" s="129" t="s">
        <v>240</v>
      </c>
      <c r="I75" s="9"/>
      <c r="J75" s="130" t="s">
        <v>299</v>
      </c>
      <c r="K75" s="277"/>
      <c r="L75" s="277"/>
      <c r="M75" s="277"/>
      <c r="O75" s="131" t="str">
        <f t="shared" si="0"/>
        <v>B</v>
      </c>
      <c r="P75" s="132" t="str">
        <f t="shared" si="1"/>
        <v/>
      </c>
      <c r="Q75" s="132" t="e">
        <f t="shared" si="2"/>
        <v>#DIV/0!</v>
      </c>
      <c r="R75" s="132" t="str">
        <f t="shared" si="3"/>
        <v>B</v>
      </c>
      <c r="S75" s="132" t="str">
        <f t="shared" si="4"/>
        <v/>
      </c>
      <c r="T75" s="132" t="e">
        <f t="shared" si="5"/>
        <v>#DIV/0!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322">
        <v>1015</v>
      </c>
      <c r="C76" s="322"/>
      <c r="D76" s="9"/>
      <c r="E76" s="133" t="s">
        <v>240</v>
      </c>
      <c r="F76" s="129"/>
      <c r="G76" s="9"/>
      <c r="H76" s="129" t="s">
        <v>240</v>
      </c>
      <c r="I76" s="9"/>
      <c r="J76" s="130" t="s">
        <v>299</v>
      </c>
      <c r="K76" s="277"/>
      <c r="L76" s="277"/>
      <c r="M76" s="277"/>
      <c r="O76" s="131" t="str">
        <f t="shared" si="0"/>
        <v>B</v>
      </c>
      <c r="P76" s="132" t="str">
        <f t="shared" si="1"/>
        <v/>
      </c>
      <c r="Q76" s="132" t="e">
        <f t="shared" si="2"/>
        <v>#DIV/0!</v>
      </c>
      <c r="R76" s="132" t="str">
        <f t="shared" si="3"/>
        <v>B</v>
      </c>
      <c r="S76" s="132" t="str">
        <f t="shared" si="4"/>
        <v/>
      </c>
      <c r="T76" s="132" t="e">
        <f t="shared" si="5"/>
        <v>#DIV/0!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322">
        <v>1016</v>
      </c>
      <c r="C77" s="322"/>
      <c r="D77" s="9"/>
      <c r="E77" s="133" t="s">
        <v>240</v>
      </c>
      <c r="F77" s="9"/>
      <c r="G77" s="9"/>
      <c r="H77" s="9" t="s">
        <v>240</v>
      </c>
      <c r="I77" s="9"/>
      <c r="J77" s="130" t="s">
        <v>299</v>
      </c>
      <c r="K77" s="277"/>
      <c r="L77" s="277"/>
      <c r="M77" s="277"/>
      <c r="O77" s="131" t="str">
        <f t="shared" si="0"/>
        <v>B</v>
      </c>
      <c r="P77" s="132" t="str">
        <f t="shared" si="1"/>
        <v/>
      </c>
      <c r="Q77" s="132" t="e">
        <f t="shared" si="2"/>
        <v>#DIV/0!</v>
      </c>
      <c r="R77" s="132" t="str">
        <f t="shared" si="3"/>
        <v>B</v>
      </c>
      <c r="S77" s="132" t="str">
        <f t="shared" si="4"/>
        <v/>
      </c>
      <c r="T77" s="132" t="e">
        <f t="shared" si="5"/>
        <v>#DIV/0!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322">
        <v>1017</v>
      </c>
      <c r="C78" s="322"/>
      <c r="D78" s="9"/>
      <c r="E78" s="129" t="s">
        <v>240</v>
      </c>
      <c r="F78" s="129"/>
      <c r="G78" s="9"/>
      <c r="H78" s="129" t="s">
        <v>240</v>
      </c>
      <c r="I78" s="9"/>
      <c r="J78" s="130" t="s">
        <v>299</v>
      </c>
      <c r="K78" s="277"/>
      <c r="L78" s="277"/>
      <c r="M78" s="277"/>
      <c r="O78" s="131" t="str">
        <f t="shared" si="0"/>
        <v>B</v>
      </c>
      <c r="P78" s="132" t="str">
        <f t="shared" si="1"/>
        <v/>
      </c>
      <c r="Q78" s="132" t="e">
        <f t="shared" si="2"/>
        <v>#DIV/0!</v>
      </c>
      <c r="R78" s="132" t="str">
        <f t="shared" si="3"/>
        <v>B</v>
      </c>
      <c r="S78" s="132" t="str">
        <f t="shared" si="4"/>
        <v/>
      </c>
      <c r="T78" s="132" t="e">
        <f t="shared" si="5"/>
        <v>#DIV/0!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322">
        <v>1018</v>
      </c>
      <c r="C79" s="322"/>
      <c r="D79" s="9"/>
      <c r="E79" s="133" t="s">
        <v>240</v>
      </c>
      <c r="F79" s="129"/>
      <c r="G79" s="9"/>
      <c r="H79" s="129" t="s">
        <v>240</v>
      </c>
      <c r="I79" s="9"/>
      <c r="J79" s="130" t="s">
        <v>299</v>
      </c>
      <c r="K79" s="277"/>
      <c r="L79" s="277"/>
      <c r="M79" s="277"/>
      <c r="O79" s="131" t="str">
        <f t="shared" si="0"/>
        <v>B</v>
      </c>
      <c r="P79" s="132" t="str">
        <f t="shared" si="1"/>
        <v/>
      </c>
      <c r="Q79" s="132" t="e">
        <f t="shared" si="2"/>
        <v>#DIV/0!</v>
      </c>
      <c r="R79" s="132" t="str">
        <f t="shared" si="3"/>
        <v>B</v>
      </c>
      <c r="S79" s="132" t="str">
        <f t="shared" si="4"/>
        <v/>
      </c>
      <c r="T79" s="132" t="e">
        <f t="shared" si="5"/>
        <v>#DIV/0!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322">
        <v>1019</v>
      </c>
      <c r="C80" s="322"/>
      <c r="D80" s="9"/>
      <c r="E80" s="129" t="s">
        <v>240</v>
      </c>
      <c r="F80" s="129"/>
      <c r="G80" s="9"/>
      <c r="H80" s="129" t="s">
        <v>239</v>
      </c>
      <c r="I80" s="9"/>
      <c r="J80" s="130" t="s">
        <v>299</v>
      </c>
      <c r="K80" s="277"/>
      <c r="L80" s="277"/>
      <c r="M80" s="277"/>
      <c r="O80" s="131" t="str">
        <f t="shared" si="0"/>
        <v>B</v>
      </c>
      <c r="P80" s="132" t="str">
        <f t="shared" si="1"/>
        <v/>
      </c>
      <c r="Q80" s="132" t="e">
        <f t="shared" si="2"/>
        <v>#DIV/0!</v>
      </c>
      <c r="R80" s="132" t="str">
        <f t="shared" si="3"/>
        <v>C</v>
      </c>
      <c r="S80" s="132" t="str">
        <f t="shared" si="4"/>
        <v/>
      </c>
      <c r="T80" s="132" t="e">
        <f t="shared" si="5"/>
        <v>#DIV/0!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322">
        <v>1020</v>
      </c>
      <c r="C81" s="322"/>
      <c r="D81" s="9"/>
      <c r="E81" s="129" t="s">
        <v>239</v>
      </c>
      <c r="F81" s="9"/>
      <c r="G81" s="9"/>
      <c r="H81" s="9" t="s">
        <v>240</v>
      </c>
      <c r="I81" s="9"/>
      <c r="J81" s="130" t="s">
        <v>299</v>
      </c>
      <c r="K81" s="277"/>
      <c r="L81" s="277"/>
      <c r="M81" s="277"/>
      <c r="O81" s="131" t="str">
        <f t="shared" si="0"/>
        <v>C</v>
      </c>
      <c r="P81" s="132" t="str">
        <f t="shared" si="1"/>
        <v/>
      </c>
      <c r="Q81" s="132" t="e">
        <f t="shared" si="2"/>
        <v>#DIV/0!</v>
      </c>
      <c r="R81" s="132" t="str">
        <f t="shared" si="3"/>
        <v>B</v>
      </c>
      <c r="S81" s="132" t="str">
        <f t="shared" si="4"/>
        <v/>
      </c>
      <c r="T81" s="132" t="e">
        <f t="shared" si="5"/>
        <v>#DIV/0!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322">
        <v>1021</v>
      </c>
      <c r="C82" s="322"/>
      <c r="D82" s="9"/>
      <c r="E82" s="129" t="s">
        <v>239</v>
      </c>
      <c r="F82" s="9"/>
      <c r="G82" s="9"/>
      <c r="H82" s="9" t="s">
        <v>239</v>
      </c>
      <c r="I82" s="9"/>
      <c r="J82" s="130" t="s">
        <v>299</v>
      </c>
      <c r="K82" s="277"/>
      <c r="L82" s="277"/>
      <c r="M82" s="277"/>
      <c r="O82" s="131" t="str">
        <f t="shared" si="0"/>
        <v>C</v>
      </c>
      <c r="P82" s="132" t="str">
        <f t="shared" si="1"/>
        <v/>
      </c>
      <c r="Q82" s="132" t="e">
        <f t="shared" si="2"/>
        <v>#DIV/0!</v>
      </c>
      <c r="R82" s="132" t="str">
        <f t="shared" si="3"/>
        <v>C</v>
      </c>
      <c r="S82" s="132" t="str">
        <f t="shared" si="4"/>
        <v/>
      </c>
      <c r="T82" s="132" t="e">
        <f t="shared" si="5"/>
        <v>#DIV/0!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322">
        <v>1022</v>
      </c>
      <c r="C83" s="322"/>
      <c r="D83" s="9"/>
      <c r="E83" s="129" t="s">
        <v>239</v>
      </c>
      <c r="F83" s="129"/>
      <c r="G83" s="9"/>
      <c r="H83" s="129" t="s">
        <v>239</v>
      </c>
      <c r="I83" s="9"/>
      <c r="J83" s="130" t="s">
        <v>299</v>
      </c>
      <c r="K83" s="277"/>
      <c r="L83" s="277"/>
      <c r="M83" s="277"/>
      <c r="O83" s="131" t="str">
        <f t="shared" si="0"/>
        <v>C</v>
      </c>
      <c r="P83" s="132" t="str">
        <f t="shared" si="1"/>
        <v/>
      </c>
      <c r="Q83" s="132" t="e">
        <f t="shared" si="2"/>
        <v>#DIV/0!</v>
      </c>
      <c r="R83" s="132" t="str">
        <f t="shared" si="3"/>
        <v>C</v>
      </c>
      <c r="S83" s="132" t="str">
        <f t="shared" si="4"/>
        <v/>
      </c>
      <c r="T83" s="132" t="e">
        <f t="shared" si="5"/>
        <v>#DIV/0!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322">
        <v>1023</v>
      </c>
      <c r="C84" s="322"/>
      <c r="D84" s="9"/>
      <c r="E84" s="129" t="s">
        <v>239</v>
      </c>
      <c r="F84" s="129"/>
      <c r="G84" s="9"/>
      <c r="H84" s="129" t="s">
        <v>239</v>
      </c>
      <c r="I84" s="9"/>
      <c r="J84" s="130" t="s">
        <v>299</v>
      </c>
      <c r="K84" s="277"/>
      <c r="L84" s="277"/>
      <c r="M84" s="277"/>
      <c r="O84" s="131" t="str">
        <f t="shared" si="0"/>
        <v>C</v>
      </c>
      <c r="P84" s="132" t="str">
        <f t="shared" si="1"/>
        <v/>
      </c>
      <c r="Q84" s="132" t="e">
        <f t="shared" si="2"/>
        <v>#DIV/0!</v>
      </c>
      <c r="R84" s="132" t="str">
        <f t="shared" si="3"/>
        <v>C</v>
      </c>
      <c r="S84" s="132" t="str">
        <f t="shared" si="4"/>
        <v/>
      </c>
      <c r="T84" s="132" t="e">
        <f t="shared" si="5"/>
        <v>#DIV/0!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322">
        <v>1024</v>
      </c>
      <c r="C85" s="322"/>
      <c r="D85" s="9"/>
      <c r="E85" s="129" t="s">
        <v>239</v>
      </c>
      <c r="F85" s="129"/>
      <c r="G85" s="9"/>
      <c r="H85" s="129" t="s">
        <v>239</v>
      </c>
      <c r="I85" s="9"/>
      <c r="J85" s="130" t="s">
        <v>299</v>
      </c>
      <c r="K85" s="277"/>
      <c r="L85" s="277"/>
      <c r="M85" s="277"/>
      <c r="O85" s="131" t="str">
        <f t="shared" si="0"/>
        <v>C</v>
      </c>
      <c r="P85" s="132" t="str">
        <f t="shared" si="1"/>
        <v/>
      </c>
      <c r="Q85" s="132" t="e">
        <f t="shared" si="2"/>
        <v>#DIV/0!</v>
      </c>
      <c r="R85" s="132" t="str">
        <f t="shared" si="3"/>
        <v>C</v>
      </c>
      <c r="S85" s="132" t="str">
        <f t="shared" si="4"/>
        <v/>
      </c>
      <c r="T85" s="132" t="e">
        <f t="shared" si="5"/>
        <v>#DIV/0!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322">
        <v>1025</v>
      </c>
      <c r="C86" s="322"/>
      <c r="D86" s="9"/>
      <c r="E86" s="129" t="s">
        <v>239</v>
      </c>
      <c r="F86" s="129"/>
      <c r="G86" s="9"/>
      <c r="H86" s="129" t="s">
        <v>239</v>
      </c>
      <c r="I86" s="9"/>
      <c r="J86" s="130" t="s">
        <v>299</v>
      </c>
      <c r="K86" s="277"/>
      <c r="L86" s="277"/>
      <c r="M86" s="277"/>
      <c r="O86" s="131" t="str">
        <f t="shared" si="0"/>
        <v>C</v>
      </c>
      <c r="P86" s="132" t="str">
        <f t="shared" si="1"/>
        <v/>
      </c>
      <c r="Q86" s="132" t="e">
        <f t="shared" si="2"/>
        <v>#DIV/0!</v>
      </c>
      <c r="R86" s="132" t="str">
        <f t="shared" si="3"/>
        <v>C</v>
      </c>
      <c r="S86" s="132" t="str">
        <f t="shared" si="4"/>
        <v/>
      </c>
      <c r="T86" s="132" t="e">
        <f t="shared" si="5"/>
        <v>#DIV/0!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322">
        <v>1026</v>
      </c>
      <c r="C87" s="322"/>
      <c r="D87" s="9"/>
      <c r="E87" s="129" t="s">
        <v>239</v>
      </c>
      <c r="F87" s="129"/>
      <c r="G87" s="9"/>
      <c r="H87" s="129" t="s">
        <v>239</v>
      </c>
      <c r="I87" s="9"/>
      <c r="J87" s="130" t="s">
        <v>299</v>
      </c>
      <c r="K87" s="277"/>
      <c r="L87" s="277"/>
      <c r="M87" s="277"/>
      <c r="O87" s="131" t="str">
        <f t="shared" si="0"/>
        <v>C</v>
      </c>
      <c r="P87" s="132" t="str">
        <f t="shared" si="1"/>
        <v/>
      </c>
      <c r="Q87" s="132" t="e">
        <f t="shared" si="2"/>
        <v>#DIV/0!</v>
      </c>
      <c r="R87" s="132" t="str">
        <f t="shared" si="3"/>
        <v>C</v>
      </c>
      <c r="S87" s="132" t="str">
        <f t="shared" si="4"/>
        <v/>
      </c>
      <c r="T87" s="132" t="e">
        <f t="shared" si="5"/>
        <v>#DIV/0!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322">
        <v>1027</v>
      </c>
      <c r="C88" s="322"/>
      <c r="D88" s="9"/>
      <c r="E88" s="129" t="s">
        <v>239</v>
      </c>
      <c r="F88" s="129"/>
      <c r="G88" s="9"/>
      <c r="H88" s="129" t="s">
        <v>239</v>
      </c>
      <c r="I88" s="9"/>
      <c r="J88" s="130" t="s">
        <v>299</v>
      </c>
      <c r="K88" s="277"/>
      <c r="L88" s="277"/>
      <c r="M88" s="277"/>
      <c r="O88" s="131" t="str">
        <f t="shared" si="0"/>
        <v>C</v>
      </c>
      <c r="P88" s="132" t="str">
        <f t="shared" si="1"/>
        <v/>
      </c>
      <c r="Q88" s="132" t="e">
        <f t="shared" si="2"/>
        <v>#DIV/0!</v>
      </c>
      <c r="R88" s="132" t="str">
        <f t="shared" si="3"/>
        <v>C</v>
      </c>
      <c r="S88" s="132" t="str">
        <f t="shared" si="4"/>
        <v/>
      </c>
      <c r="T88" s="132" t="e">
        <f t="shared" si="5"/>
        <v>#DIV/0!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322">
        <v>1028</v>
      </c>
      <c r="C89" s="322"/>
      <c r="D89" s="9"/>
      <c r="E89" s="129" t="s">
        <v>239</v>
      </c>
      <c r="F89" s="9"/>
      <c r="G89" s="9"/>
      <c r="H89" s="9" t="s">
        <v>238</v>
      </c>
      <c r="I89" s="9"/>
      <c r="J89" s="130" t="s">
        <v>299</v>
      </c>
      <c r="K89" s="277"/>
      <c r="L89" s="277"/>
      <c r="M89" s="277"/>
      <c r="O89" s="131" t="str">
        <f t="shared" si="0"/>
        <v>C</v>
      </c>
      <c r="P89" s="132" t="str">
        <f t="shared" si="1"/>
        <v/>
      </c>
      <c r="Q89" s="132" t="e">
        <f t="shared" si="2"/>
        <v>#DIV/0!</v>
      </c>
      <c r="R89" s="132" t="str">
        <f t="shared" si="3"/>
        <v>D</v>
      </c>
      <c r="S89" s="132" t="str">
        <f t="shared" si="4"/>
        <v/>
      </c>
      <c r="T89" s="132" t="e">
        <f t="shared" si="5"/>
        <v>#DIV/0!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322">
        <v>1029</v>
      </c>
      <c r="C90" s="322"/>
      <c r="D90" s="9"/>
      <c r="E90" s="133" t="s">
        <v>239</v>
      </c>
      <c r="F90" s="129"/>
      <c r="G90" s="9"/>
      <c r="H90" s="129" t="s">
        <v>238</v>
      </c>
      <c r="I90" s="9"/>
      <c r="J90" s="130" t="s">
        <v>299</v>
      </c>
      <c r="K90" s="277"/>
      <c r="L90" s="277"/>
      <c r="M90" s="277"/>
      <c r="O90" s="131" t="str">
        <f t="shared" si="0"/>
        <v>C</v>
      </c>
      <c r="P90" s="132" t="str">
        <f t="shared" si="1"/>
        <v/>
      </c>
      <c r="Q90" s="132" t="e">
        <f t="shared" si="2"/>
        <v>#DIV/0!</v>
      </c>
      <c r="R90" s="132" t="str">
        <f t="shared" si="3"/>
        <v>D</v>
      </c>
      <c r="S90" s="132" t="str">
        <f t="shared" si="4"/>
        <v/>
      </c>
      <c r="T90" s="132" t="e">
        <f t="shared" si="5"/>
        <v>#DIV/0!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322">
        <v>1030</v>
      </c>
      <c r="C91" s="322"/>
      <c r="D91" s="9"/>
      <c r="E91" s="129" t="s">
        <v>238</v>
      </c>
      <c r="F91" s="129"/>
      <c r="G91" s="9"/>
      <c r="H91" s="129" t="s">
        <v>238</v>
      </c>
      <c r="I91" s="9"/>
      <c r="J91" s="130" t="s">
        <v>299</v>
      </c>
      <c r="K91" s="277"/>
      <c r="L91" s="277"/>
      <c r="M91" s="277"/>
      <c r="O91" s="131" t="str">
        <f t="shared" si="0"/>
        <v>D</v>
      </c>
      <c r="P91" s="132" t="str">
        <f t="shared" si="1"/>
        <v/>
      </c>
      <c r="Q91" s="132" t="e">
        <f t="shared" si="2"/>
        <v>#DIV/0!</v>
      </c>
      <c r="R91" s="132" t="str">
        <f t="shared" si="3"/>
        <v>D</v>
      </c>
      <c r="S91" s="132" t="str">
        <f t="shared" si="4"/>
        <v/>
      </c>
      <c r="T91" s="132" t="e">
        <f t="shared" si="5"/>
        <v>#DIV/0!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322">
        <v>1031</v>
      </c>
      <c r="C92" s="322"/>
      <c r="D92" s="9"/>
      <c r="E92" s="129" t="s">
        <v>238</v>
      </c>
      <c r="F92" s="9"/>
      <c r="G92" s="9"/>
      <c r="H92" s="9" t="s">
        <v>238</v>
      </c>
      <c r="I92" s="9"/>
      <c r="J92" s="130" t="s">
        <v>299</v>
      </c>
      <c r="K92" s="277"/>
      <c r="L92" s="277"/>
      <c r="M92" s="277"/>
      <c r="O92" s="131" t="str">
        <f t="shared" si="0"/>
        <v>D</v>
      </c>
      <c r="P92" s="132" t="str">
        <f t="shared" si="1"/>
        <v/>
      </c>
      <c r="Q92" s="132" t="e">
        <f t="shared" si="2"/>
        <v>#DIV/0!</v>
      </c>
      <c r="R92" s="132" t="str">
        <f t="shared" si="3"/>
        <v>D</v>
      </c>
      <c r="S92" s="132" t="str">
        <f t="shared" si="4"/>
        <v/>
      </c>
      <c r="T92" s="132" t="e">
        <f t="shared" si="5"/>
        <v>#DIV/0!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322">
        <v>1032</v>
      </c>
      <c r="C93" s="322"/>
      <c r="D93" s="9"/>
      <c r="E93" s="129" t="s">
        <v>238</v>
      </c>
      <c r="F93" s="129"/>
      <c r="G93" s="9"/>
      <c r="H93" s="129" t="s">
        <v>238</v>
      </c>
      <c r="I93" s="9"/>
      <c r="J93" s="130" t="s">
        <v>299</v>
      </c>
      <c r="K93" s="277"/>
      <c r="L93" s="277"/>
      <c r="M93" s="277"/>
      <c r="O93" s="131" t="str">
        <f t="shared" si="0"/>
        <v>D</v>
      </c>
      <c r="P93" s="132" t="str">
        <f t="shared" si="1"/>
        <v/>
      </c>
      <c r="Q93" s="132" t="e">
        <f t="shared" si="2"/>
        <v>#DIV/0!</v>
      </c>
      <c r="R93" s="132" t="str">
        <f t="shared" si="3"/>
        <v>D</v>
      </c>
      <c r="S93" s="132" t="str">
        <f t="shared" si="4"/>
        <v/>
      </c>
      <c r="T93" s="132" t="e">
        <f t="shared" si="5"/>
        <v>#DIV/0!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322">
        <v>1033</v>
      </c>
      <c r="C94" s="322"/>
      <c r="D94" s="9"/>
      <c r="E94" s="129" t="s">
        <v>238</v>
      </c>
      <c r="F94" s="129"/>
      <c r="G94" s="9"/>
      <c r="H94" s="129" t="s">
        <v>238</v>
      </c>
      <c r="I94" s="9"/>
      <c r="J94" s="130" t="s">
        <v>299</v>
      </c>
      <c r="K94" s="277"/>
      <c r="L94" s="277"/>
      <c r="M94" s="277"/>
      <c r="O94" s="131" t="str">
        <f t="shared" si="0"/>
        <v>D</v>
      </c>
      <c r="P94" s="132" t="str">
        <f t="shared" si="1"/>
        <v/>
      </c>
      <c r="Q94" s="132" t="e">
        <f t="shared" si="2"/>
        <v>#DIV/0!</v>
      </c>
      <c r="R94" s="132" t="str">
        <f t="shared" si="3"/>
        <v>D</v>
      </c>
      <c r="S94" s="132" t="str">
        <f t="shared" si="4"/>
        <v/>
      </c>
      <c r="T94" s="132" t="e">
        <f t="shared" si="5"/>
        <v>#DIV/0!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322">
        <v>1034</v>
      </c>
      <c r="C95" s="322"/>
      <c r="D95" s="9"/>
      <c r="E95" s="133" t="s">
        <v>238</v>
      </c>
      <c r="F95" s="9"/>
      <c r="G95" s="9"/>
      <c r="H95" s="9" t="s">
        <v>238</v>
      </c>
      <c r="I95" s="9"/>
      <c r="J95" s="130" t="s">
        <v>299</v>
      </c>
      <c r="K95" s="277"/>
      <c r="L95" s="277"/>
      <c r="M95" s="277"/>
      <c r="O95" s="131" t="str">
        <f t="shared" si="0"/>
        <v>D</v>
      </c>
      <c r="P95" s="132" t="str">
        <f t="shared" si="1"/>
        <v/>
      </c>
      <c r="Q95" s="132" t="e">
        <f t="shared" si="2"/>
        <v>#DIV/0!</v>
      </c>
      <c r="R95" s="132" t="str">
        <f t="shared" si="3"/>
        <v>D</v>
      </c>
      <c r="S95" s="132" t="str">
        <f t="shared" si="4"/>
        <v/>
      </c>
      <c r="T95" s="132" t="e">
        <f t="shared" si="5"/>
        <v>#DIV/0!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322">
        <v>1035</v>
      </c>
      <c r="C96" s="322"/>
      <c r="D96" s="9"/>
      <c r="E96" s="129" t="s">
        <v>238</v>
      </c>
      <c r="F96" s="129"/>
      <c r="G96" s="9"/>
      <c r="H96" s="129" t="s">
        <v>238</v>
      </c>
      <c r="I96" s="9"/>
      <c r="J96" s="130" t="s">
        <v>299</v>
      </c>
      <c r="K96" s="277"/>
      <c r="L96" s="277"/>
      <c r="M96" s="277"/>
      <c r="O96" s="131" t="str">
        <f t="shared" si="0"/>
        <v>D</v>
      </c>
      <c r="P96" s="132" t="str">
        <f t="shared" si="1"/>
        <v/>
      </c>
      <c r="Q96" s="132" t="e">
        <f t="shared" si="2"/>
        <v>#DIV/0!</v>
      </c>
      <c r="R96" s="132" t="str">
        <f t="shared" si="3"/>
        <v>D</v>
      </c>
      <c r="S96" s="132" t="str">
        <f t="shared" si="4"/>
        <v/>
      </c>
      <c r="T96" s="132" t="e">
        <f t="shared" si="5"/>
        <v>#DIV/0!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322">
        <v>1036</v>
      </c>
      <c r="C97" s="322"/>
      <c r="D97" s="9"/>
      <c r="E97" s="129" t="s">
        <v>238</v>
      </c>
      <c r="F97" s="129"/>
      <c r="G97" s="9"/>
      <c r="H97" s="129" t="s">
        <v>238</v>
      </c>
      <c r="I97" s="9"/>
      <c r="J97" s="130" t="s">
        <v>299</v>
      </c>
      <c r="K97" s="277"/>
      <c r="L97" s="277"/>
      <c r="M97" s="277"/>
      <c r="O97" s="131" t="str">
        <f t="shared" si="0"/>
        <v>D</v>
      </c>
      <c r="P97" s="132" t="str">
        <f t="shared" si="1"/>
        <v/>
      </c>
      <c r="Q97" s="132" t="e">
        <f t="shared" si="2"/>
        <v>#DIV/0!</v>
      </c>
      <c r="R97" s="132" t="str">
        <f t="shared" si="3"/>
        <v>D</v>
      </c>
      <c r="S97" s="132" t="str">
        <f t="shared" si="4"/>
        <v/>
      </c>
      <c r="T97" s="132" t="e">
        <f t="shared" si="5"/>
        <v>#DIV/0!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322">
        <v>1037</v>
      </c>
      <c r="C98" s="322"/>
      <c r="D98" s="9"/>
      <c r="E98" s="129" t="s">
        <v>238</v>
      </c>
      <c r="F98" s="129"/>
      <c r="G98" s="9"/>
      <c r="H98" s="129" t="s">
        <v>238</v>
      </c>
      <c r="I98" s="9"/>
      <c r="J98" s="130" t="s">
        <v>299</v>
      </c>
      <c r="K98" s="277"/>
      <c r="L98" s="277"/>
      <c r="M98" s="277"/>
      <c r="O98" s="131" t="str">
        <f t="shared" si="0"/>
        <v>D</v>
      </c>
      <c r="P98" s="132" t="str">
        <f t="shared" si="1"/>
        <v/>
      </c>
      <c r="Q98" s="132" t="e">
        <f t="shared" si="2"/>
        <v>#DIV/0!</v>
      </c>
      <c r="R98" s="132" t="str">
        <f t="shared" si="3"/>
        <v>D</v>
      </c>
      <c r="S98" s="132" t="str">
        <f t="shared" si="4"/>
        <v/>
      </c>
      <c r="T98" s="132" t="e">
        <f t="shared" si="5"/>
        <v>#DIV/0!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322">
        <v>1038</v>
      </c>
      <c r="C99" s="322"/>
      <c r="D99" s="9"/>
      <c r="E99" s="129" t="s">
        <v>238</v>
      </c>
      <c r="F99" s="129"/>
      <c r="G99" s="9"/>
      <c r="H99" s="129" t="s">
        <v>238</v>
      </c>
      <c r="I99" s="9"/>
      <c r="J99" s="130" t="s">
        <v>299</v>
      </c>
      <c r="K99" s="277"/>
      <c r="L99" s="277"/>
      <c r="M99" s="277"/>
      <c r="O99" s="131" t="str">
        <f t="shared" si="0"/>
        <v>D</v>
      </c>
      <c r="P99" s="132" t="str">
        <f t="shared" si="1"/>
        <v/>
      </c>
      <c r="Q99" s="132" t="e">
        <f t="shared" si="2"/>
        <v>#DIV/0!</v>
      </c>
      <c r="R99" s="132" t="str">
        <f t="shared" si="3"/>
        <v>D</v>
      </c>
      <c r="S99" s="132" t="str">
        <f t="shared" si="4"/>
        <v/>
      </c>
      <c r="T99" s="132" t="e">
        <f t="shared" si="5"/>
        <v>#DIV/0!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322">
        <v>1039</v>
      </c>
      <c r="C100" s="322"/>
      <c r="D100" s="9"/>
      <c r="E100" s="129" t="s">
        <v>238</v>
      </c>
      <c r="F100" s="129"/>
      <c r="G100" s="9"/>
      <c r="H100" s="129" t="s">
        <v>238</v>
      </c>
      <c r="I100" s="9"/>
      <c r="J100" s="130" t="s">
        <v>299</v>
      </c>
      <c r="K100" s="277"/>
      <c r="L100" s="277"/>
      <c r="M100" s="277"/>
      <c r="O100" s="131" t="str">
        <f t="shared" si="0"/>
        <v>D</v>
      </c>
      <c r="P100" s="132" t="str">
        <f t="shared" si="1"/>
        <v/>
      </c>
      <c r="Q100" s="132" t="e">
        <f t="shared" si="2"/>
        <v>#DIV/0!</v>
      </c>
      <c r="R100" s="132" t="str">
        <f t="shared" si="3"/>
        <v>D</v>
      </c>
      <c r="S100" s="132" t="str">
        <f t="shared" si="4"/>
        <v/>
      </c>
      <c r="T100" s="132" t="e">
        <f t="shared" si="5"/>
        <v>#DIV/0!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81"/>
      <c r="C101" s="281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77"/>
      <c r="L101" s="277"/>
      <c r="M101" s="277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81"/>
      <c r="C102" s="281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77"/>
      <c r="L102" s="277"/>
      <c r="M102" s="277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81"/>
      <c r="C103" s="281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77"/>
      <c r="L103" s="277"/>
      <c r="M103" s="277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81"/>
      <c r="C104" s="281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77"/>
      <c r="L104" s="277"/>
      <c r="M104" s="277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81"/>
      <c r="C105" s="281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77"/>
      <c r="L105" s="277"/>
      <c r="M105" s="277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81"/>
      <c r="C106" s="281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77"/>
      <c r="L106" s="277"/>
      <c r="M106" s="277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81"/>
      <c r="C107" s="281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77"/>
      <c r="L107" s="277"/>
      <c r="M107" s="277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81"/>
      <c r="C108" s="281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77"/>
      <c r="L108" s="277"/>
      <c r="M108" s="277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81"/>
      <c r="C109" s="281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77"/>
      <c r="L109" s="277"/>
      <c r="M109" s="277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81"/>
      <c r="C110" s="281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77"/>
      <c r="L110" s="277"/>
      <c r="M110" s="277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81"/>
      <c r="C111" s="281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77"/>
      <c r="L111" s="277"/>
      <c r="M111" s="277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81"/>
      <c r="C112" s="281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77"/>
      <c r="L112" s="277"/>
      <c r="M112" s="277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81"/>
      <c r="C113" s="281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77"/>
      <c r="L113" s="277"/>
      <c r="M113" s="277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81"/>
      <c r="C114" s="281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77"/>
      <c r="L114" s="277"/>
      <c r="M114" s="277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81"/>
      <c r="C115" s="281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77"/>
      <c r="L115" s="277"/>
      <c r="M115" s="277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81"/>
      <c r="C116" s="281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77"/>
      <c r="L116" s="277"/>
      <c r="M116" s="277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81"/>
      <c r="C117" s="281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77"/>
      <c r="L117" s="277"/>
      <c r="M117" s="277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81"/>
      <c r="C118" s="281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77"/>
      <c r="L118" s="277"/>
      <c r="M118" s="277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81"/>
      <c r="C119" s="281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77"/>
      <c r="L119" s="277"/>
      <c r="M119" s="277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81"/>
      <c r="C120" s="281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77"/>
      <c r="L120" s="277"/>
      <c r="M120" s="277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81"/>
      <c r="C121" s="281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77"/>
      <c r="L121" s="277"/>
      <c r="M121" s="277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81"/>
      <c r="C122" s="281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77"/>
      <c r="L122" s="277"/>
      <c r="M122" s="277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81"/>
      <c r="C123" s="281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77"/>
      <c r="L123" s="277"/>
      <c r="M123" s="277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81"/>
      <c r="C124" s="281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77"/>
      <c r="L124" s="277"/>
      <c r="M124" s="277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81"/>
      <c r="C125" s="281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77"/>
      <c r="L125" s="277"/>
      <c r="M125" s="277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81"/>
      <c r="C126" s="281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77"/>
      <c r="L126" s="277"/>
      <c r="M126" s="277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81"/>
      <c r="C127" s="281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77"/>
      <c r="L127" s="277"/>
      <c r="M127" s="277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81"/>
      <c r="C128" s="281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77"/>
      <c r="L128" s="277"/>
      <c r="M128" s="277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81"/>
      <c r="C129" s="281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77"/>
      <c r="L129" s="277"/>
      <c r="M129" s="277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81"/>
      <c r="C130" s="281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77"/>
      <c r="L130" s="277"/>
      <c r="M130" s="277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81"/>
      <c r="C131" s="281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77"/>
      <c r="L131" s="277"/>
      <c r="M131" s="277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81"/>
      <c r="C132" s="281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77"/>
      <c r="L132" s="277"/>
      <c r="M132" s="277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81"/>
      <c r="C133" s="281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77"/>
      <c r="L133" s="277"/>
      <c r="M133" s="277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81"/>
      <c r="C134" s="281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77"/>
      <c r="L134" s="277"/>
      <c r="M134" s="277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81"/>
      <c r="C135" s="281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77"/>
      <c r="L135" s="277"/>
      <c r="M135" s="277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81"/>
      <c r="C136" s="281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77"/>
      <c r="L136" s="277"/>
      <c r="M136" s="277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81"/>
      <c r="C137" s="281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77"/>
      <c r="L137" s="277"/>
      <c r="M137" s="277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81"/>
      <c r="C138" s="281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77"/>
      <c r="L138" s="277"/>
      <c r="M138" s="277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81"/>
      <c r="C139" s="281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77"/>
      <c r="L139" s="277"/>
      <c r="M139" s="277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81"/>
      <c r="C140" s="281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77"/>
      <c r="L140" s="277"/>
      <c r="M140" s="277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81"/>
      <c r="C141" s="281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77"/>
      <c r="L141" s="277"/>
      <c r="M141" s="277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81"/>
      <c r="C142" s="281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77"/>
      <c r="L142" s="277"/>
      <c r="M142" s="277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81"/>
      <c r="C143" s="281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77"/>
      <c r="L143" s="277"/>
      <c r="M143" s="277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81"/>
      <c r="C144" s="281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77"/>
      <c r="L144" s="277"/>
      <c r="M144" s="277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81"/>
      <c r="C145" s="281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77"/>
      <c r="L145" s="277"/>
      <c r="M145" s="277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81"/>
      <c r="C146" s="281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77"/>
      <c r="L146" s="277"/>
      <c r="M146" s="277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81"/>
      <c r="C147" s="281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77"/>
      <c r="L147" s="277"/>
      <c r="M147" s="277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81"/>
      <c r="C148" s="281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77"/>
      <c r="L148" s="277"/>
      <c r="M148" s="277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81"/>
      <c r="C149" s="281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77"/>
      <c r="L149" s="277"/>
      <c r="M149" s="277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81"/>
      <c r="C150" s="281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77"/>
      <c r="L150" s="277"/>
      <c r="M150" s="277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81"/>
      <c r="C151" s="281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77"/>
      <c r="L151" s="277"/>
      <c r="M151" s="277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81"/>
      <c r="C152" s="281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77"/>
      <c r="L152" s="277"/>
      <c r="M152" s="277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81"/>
      <c r="C153" s="281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77"/>
      <c r="L153" s="277"/>
      <c r="M153" s="277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81"/>
      <c r="C154" s="281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77"/>
      <c r="L154" s="277"/>
      <c r="M154" s="277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81"/>
      <c r="C155" s="281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77"/>
      <c r="L155" s="277"/>
      <c r="M155" s="277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81"/>
      <c r="C156" s="281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77"/>
      <c r="L156" s="277"/>
      <c r="M156" s="277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81"/>
      <c r="C157" s="281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77"/>
      <c r="L157" s="277"/>
      <c r="M157" s="277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81"/>
      <c r="C158" s="281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77"/>
      <c r="L158" s="277"/>
      <c r="M158" s="277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81"/>
      <c r="C159" s="281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77"/>
      <c r="L159" s="277"/>
      <c r="M159" s="277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81"/>
      <c r="C160" s="281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77"/>
      <c r="L160" s="277"/>
      <c r="M160" s="277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 t="str">
        <f>IF(D164=0,"",CORREL(Q61:Q160,T61:T160))</f>
        <v/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0</v>
      </c>
      <c r="E164" s="132">
        <f>COUNT(T61:T160)</f>
        <v>0</v>
      </c>
      <c r="G164" s="104"/>
      <c r="I164" s="141" t="s">
        <v>302</v>
      </c>
      <c r="J164" s="142" t="str">
        <f>IF(D164=0,"",J163^2)</f>
        <v/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 t="str">
        <f>IF(ISERROR(AVERAGE(Q61:Q160)),"",AVERAGE(Q61:Q160))</f>
        <v/>
      </c>
      <c r="E165" s="142" t="str">
        <f>IF(ISERROR(AVERAGE(T61:T160)),"",AVERAGE(T61:T160))</f>
        <v/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304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0.96202547919097758</v>
      </c>
      <c r="F169" s="147">
        <v>1.0287556408844438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-8.8972560469334834</v>
      </c>
      <c r="F170" s="147">
        <v>126.29273504273492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241</v>
      </c>
      <c r="E176" s="140" t="s">
        <v>240</v>
      </c>
      <c r="F176" s="140" t="s">
        <v>239</v>
      </c>
      <c r="G176" s="140" t="s">
        <v>238</v>
      </c>
      <c r="H176" s="140" t="s">
        <v>167</v>
      </c>
      <c r="I176" s="140"/>
      <c r="Z176" s="104"/>
      <c r="AH176" s="138"/>
    </row>
    <row r="177" spans="3:34" ht="18" customHeight="1" x14ac:dyDescent="0.25">
      <c r="C177" s="132" t="s">
        <v>241</v>
      </c>
      <c r="D177" s="140">
        <v>8</v>
      </c>
      <c r="E177" s="140">
        <v>2</v>
      </c>
      <c r="F177" s="140">
        <v>0</v>
      </c>
      <c r="G177" s="140">
        <v>0</v>
      </c>
      <c r="H177" s="140">
        <v>10</v>
      </c>
      <c r="I177" s="140"/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240</v>
      </c>
      <c r="D178" s="140">
        <v>1</v>
      </c>
      <c r="E178" s="140">
        <v>8</v>
      </c>
      <c r="F178" s="140">
        <v>1</v>
      </c>
      <c r="G178" s="140">
        <v>0</v>
      </c>
      <c r="H178" s="140">
        <v>10</v>
      </c>
      <c r="I178" s="140"/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239</v>
      </c>
      <c r="D179" s="140">
        <v>0</v>
      </c>
      <c r="E179" s="140">
        <v>1</v>
      </c>
      <c r="F179" s="140">
        <v>7</v>
      </c>
      <c r="G179" s="140">
        <v>2</v>
      </c>
      <c r="H179" s="140">
        <v>10</v>
      </c>
      <c r="I179" s="140"/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238</v>
      </c>
      <c r="D180" s="140">
        <v>0</v>
      </c>
      <c r="E180" s="140">
        <v>0</v>
      </c>
      <c r="F180" s="140">
        <v>0</v>
      </c>
      <c r="G180" s="140">
        <v>10</v>
      </c>
      <c r="H180" s="140">
        <v>10</v>
      </c>
      <c r="I180" s="140"/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167</v>
      </c>
      <c r="D181" s="140">
        <v>9</v>
      </c>
      <c r="E181" s="140">
        <v>11</v>
      </c>
      <c r="F181" s="140">
        <v>8</v>
      </c>
      <c r="G181" s="140">
        <v>12</v>
      </c>
      <c r="H181" s="140">
        <v>40</v>
      </c>
      <c r="I181" s="140"/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/>
      <c r="D182" s="140"/>
      <c r="E182" s="140"/>
      <c r="F182" s="140"/>
      <c r="G182" s="140"/>
      <c r="H182" s="140"/>
      <c r="I182" s="140"/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0.82499999999999996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0.25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0.76666666666666661</v>
      </c>
      <c r="E186" s="3" t="str">
        <f>IF(NOT(ISNUMBER(D184)),"",IF(D184&lt;0.5,"Poor agreement",IF(D184&gt;=0.85,"Good agreement","Fair agreement")))</f>
        <v>Fair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7.9735771206382255E-2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0.61038742682263147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0.92294590651070163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82"/>
      <c r="C198" s="282"/>
      <c r="D198" s="282"/>
      <c r="E198" s="282"/>
      <c r="F198" s="282"/>
      <c r="G198" s="282"/>
      <c r="H198" s="282"/>
    </row>
    <row r="199" spans="1:19" ht="18" customHeight="1" x14ac:dyDescent="0.25">
      <c r="B199" s="75" t="s">
        <v>314</v>
      </c>
    </row>
    <row r="200" spans="1:19" ht="18" customHeight="1" x14ac:dyDescent="0.25">
      <c r="B200" s="283"/>
      <c r="C200" s="28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5"/>
      <c r="C202" s="286"/>
      <c r="D202" s="286"/>
      <c r="E202" s="287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83"/>
      <c r="C204" s="288"/>
      <c r="D204" s="288"/>
      <c r="E204" s="28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83"/>
      <c r="C206" s="288"/>
      <c r="D206" s="288"/>
      <c r="E206" s="28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73" t="s">
        <v>2</v>
      </c>
      <c r="C210" s="289" t="s">
        <v>322</v>
      </c>
      <c r="D210" s="289" t="s">
        <v>323</v>
      </c>
      <c r="E210" s="289" t="s">
        <v>324</v>
      </c>
      <c r="F210" s="289" t="s">
        <v>325</v>
      </c>
      <c r="G210" s="273" t="s">
        <v>95</v>
      </c>
      <c r="H210" s="289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73"/>
      <c r="C211" s="289"/>
      <c r="D211" s="289"/>
      <c r="E211" s="289"/>
      <c r="F211" s="289"/>
      <c r="G211" s="273"/>
      <c r="H211" s="289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73"/>
      <c r="C212" s="289"/>
      <c r="D212" s="289"/>
      <c r="E212" s="289"/>
      <c r="F212" s="289"/>
      <c r="G212" s="273"/>
      <c r="H212" s="289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82"/>
      <c r="C238" s="282"/>
      <c r="D238" s="282"/>
      <c r="E238" s="282"/>
      <c r="F238" s="282"/>
      <c r="G238" s="282"/>
      <c r="H238" s="282"/>
    </row>
    <row r="239" spans="2:27" ht="18" customHeight="1" x14ac:dyDescent="0.25">
      <c r="B239" s="75" t="s">
        <v>314</v>
      </c>
    </row>
    <row r="240" spans="2:27" ht="18" customHeight="1" x14ac:dyDescent="0.25">
      <c r="B240" s="283"/>
      <c r="C240" s="28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90"/>
      <c r="C242" s="291"/>
      <c r="D242" s="291"/>
      <c r="E242" s="292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83"/>
      <c r="C244" s="288"/>
      <c r="D244" s="288"/>
      <c r="E244" s="28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83"/>
      <c r="C246" s="288"/>
      <c r="D246" s="288"/>
      <c r="E246" s="28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73" t="s">
        <v>355</v>
      </c>
      <c r="C250" s="289" t="s">
        <v>356</v>
      </c>
      <c r="D250" s="289" t="s">
        <v>324</v>
      </c>
      <c r="E250" s="289" t="s">
        <v>325</v>
      </c>
      <c r="F250" s="289" t="s">
        <v>357</v>
      </c>
      <c r="G250" s="273" t="s">
        <v>95</v>
      </c>
      <c r="H250" s="289" t="s">
        <v>358</v>
      </c>
      <c r="I250" s="289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73"/>
      <c r="C251" s="289"/>
      <c r="D251" s="289"/>
      <c r="E251" s="289"/>
      <c r="F251" s="289"/>
      <c r="G251" s="273"/>
      <c r="H251" s="289"/>
      <c r="I251" s="289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63"/>
      <c r="C284" s="263"/>
      <c r="D284" s="263"/>
      <c r="E284" s="160"/>
      <c r="F284" s="160"/>
    </row>
    <row r="285" spans="1:6" ht="18" customHeight="1" x14ac:dyDescent="0.25">
      <c r="B285" s="75" t="s">
        <v>368</v>
      </c>
      <c r="C285" s="10"/>
      <c r="D285" s="293"/>
      <c r="E285" s="293"/>
      <c r="F285" s="293"/>
    </row>
    <row r="286" spans="1:6" ht="18" customHeight="1" x14ac:dyDescent="0.25">
      <c r="B286" s="263"/>
      <c r="C286" s="263"/>
      <c r="D286" s="263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63"/>
      <c r="C288" s="263"/>
      <c r="D288" s="263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63"/>
      <c r="C290" s="263"/>
      <c r="D290" s="263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 t="e">
        <f>IF(ISNUMBER(D348),IF(D348&lt;$J8,$J4/D348,$J6),"")</f>
        <v>#REF!</v>
      </c>
      <c r="E349" s="192" t="e">
        <f>IF(ISNUMBER(E348),IF(E348&lt;$J8,$J4/E348,$J6),"")</f>
        <v>#REF!</v>
      </c>
      <c r="F349" s="192" t="e">
        <f>IF(ISNUMBER(F348),IF(F348&lt;$J8,$J4/F348,$J6),"")</f>
        <v>#REF!</v>
      </c>
      <c r="G349" s="192" t="e">
        <f>IF(ISNUMBER(G348),IF(G348&lt;$J8,$J4/G348,$J6),"")</f>
        <v>#REF!</v>
      </c>
      <c r="V349" s="104"/>
      <c r="W349" s="8"/>
    </row>
    <row r="350" spans="1:27" ht="18" customHeight="1" x14ac:dyDescent="0.25">
      <c r="C350" s="8" t="s">
        <v>397</v>
      </c>
      <c r="D350" s="193" t="e">
        <f>IF(ISNUMBER(D333),D349/D333,"")</f>
        <v>#REF!</v>
      </c>
      <c r="E350" s="193" t="e">
        <f>IF(ISNUMBER(E333),E349/E333,"")</f>
        <v>#REF!</v>
      </c>
      <c r="F350" s="193" t="e">
        <f>IF(ISNUMBER(F333),F349/F333,"")</f>
        <v>#REF!</v>
      </c>
      <c r="G350" s="193" t="e">
        <f>IF(ISNUMBER(G333),G349/G333,"")</f>
        <v>#REF!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/>
      </c>
      <c r="E351" s="194" t="str">
        <f>IF(ISNUMBER(E350),IF(E350&lt;4,"Poor",IF(AND(E350&gt;=4,E350&lt;6),"Acceptable",IF(E350&gt;6,"Good",""))),"")</f>
        <v/>
      </c>
      <c r="F351" s="194" t="str">
        <f>IF(ISNUMBER(F350),IF(F350&lt;4,"Poor",IF(AND(F350&gt;=4,F350&lt;6),"Acceptable",IF(F350&gt;6,"Good",""))),"")</f>
        <v/>
      </c>
      <c r="G351" s="194" t="str">
        <f>IF(ISNUMBER(G350),IF(G350&lt;4,"Poor",IF(AND(G350&gt;=4,G350&lt;6),"Acceptable",IF(G350&gt;6,"Good",""))),"")</f>
        <v/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 t="e">
        <v>#REF!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 t="e">
        <v>#REF!</v>
      </c>
      <c r="F356" s="10" t="s">
        <v>403</v>
      </c>
      <c r="G356" s="197" t="str">
        <f>IF(AND(ISNUMBER(D355),ISNUMBER(D356)),IF(D357="Optimal",0.25*D355,IF(D357="Desirable",0.5*D355,0.75*D355)),"")</f>
        <v/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 t="str">
        <f>IF(AND(ISNUMBER(D355),ISNUMBER(D356)),G357+_xlfn.NORM.INV(1-D358,0,1)*G356,"")</f>
        <v/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 t="str">
        <f>IF(AND(ISNUMBER($G356),ISNUMBER(X323)),$G356*X323,"")</f>
        <v/>
      </c>
      <c r="E362" s="199" t="str">
        <f t="shared" ref="E362:G362" si="40">IF(AND(ISNUMBER($G356),ISNUMBER(Y323)),$G356*Y323,"")</f>
        <v/>
      </c>
      <c r="F362" s="199" t="str">
        <f t="shared" si="40"/>
        <v/>
      </c>
      <c r="G362" s="199" t="str">
        <f t="shared" si="40"/>
        <v/>
      </c>
    </row>
    <row r="363" spans="1:27" ht="18" customHeight="1" x14ac:dyDescent="0.25">
      <c r="C363" s="8" t="s">
        <v>394</v>
      </c>
      <c r="D363" s="199" t="str">
        <f>IF(AND(ISNUMBER($G356),ISNUMBER(X324)),$G356*X324,"")</f>
        <v/>
      </c>
      <c r="E363" s="199" t="str">
        <f t="shared" ref="E363:G363" si="41">IF(AND(ISNUMBER($G356),ISNUMBER(Y324)),$G356*Y324,"")</f>
        <v/>
      </c>
      <c r="F363" s="199" t="str">
        <f t="shared" si="41"/>
        <v/>
      </c>
      <c r="G363" s="199" t="str">
        <f t="shared" si="41"/>
        <v/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/>
      </c>
      <c r="E366" s="190" t="str">
        <f>IF(NOT(ISNUMBER(E362)),"",IF(E331&gt;E362,"Fail","Pass"))</f>
        <v/>
      </c>
      <c r="F366" s="190" t="str">
        <f>IF(NOT(ISNUMBER(F362)),"",IF(F331&gt;F362,"Fail","Pass"))</f>
        <v/>
      </c>
      <c r="G366" s="190" t="str">
        <f>IF(NOT(ISNUMBER(G362)),"",IF(G331&gt;G362,"Fail","Pass"))</f>
        <v/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/>
      </c>
      <c r="E367" s="190" t="str">
        <f>IF(NOT(ISNUMBER(E363)),"",IF(E333&gt;E363,"Fail","Pass"))</f>
        <v/>
      </c>
      <c r="F367" s="190" t="str">
        <f>IF(NOT(ISNUMBER(F363)),"",IF(F333&gt;F363,"Fail","Pass"))</f>
        <v/>
      </c>
      <c r="G367" s="190" t="str">
        <f>IF(NOT(ISNUMBER(G363)),"",IF(G333&gt;G363,"Fail","Pass"))</f>
        <v/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99"/>
      <c r="C373" s="300"/>
      <c r="D373" s="300"/>
      <c r="E373" s="300"/>
      <c r="F373" s="300"/>
      <c r="G373" s="300"/>
      <c r="H373" s="300"/>
      <c r="I373" s="300"/>
      <c r="J373" s="300"/>
      <c r="K373" s="300"/>
      <c r="L373" s="300"/>
      <c r="M373" s="301"/>
    </row>
    <row r="374" spans="1:13" ht="18" customHeight="1" x14ac:dyDescent="0.25">
      <c r="A374" s="75"/>
      <c r="B374" s="302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4"/>
    </row>
    <row r="375" spans="1:13" ht="18" customHeight="1" x14ac:dyDescent="0.25">
      <c r="A375" s="75"/>
      <c r="B375" s="302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4"/>
    </row>
    <row r="376" spans="1:13" ht="18" customHeight="1" x14ac:dyDescent="0.25">
      <c r="A376" s="75"/>
      <c r="B376" s="305"/>
      <c r="C376" s="306"/>
      <c r="D376" s="306"/>
      <c r="E376" s="306"/>
      <c r="F376" s="306"/>
      <c r="G376" s="306"/>
      <c r="H376" s="306"/>
      <c r="I376" s="306"/>
      <c r="J376" s="306"/>
      <c r="K376" s="306"/>
      <c r="L376" s="306"/>
      <c r="M376" s="307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308"/>
      <c r="C435" s="309"/>
      <c r="D435" s="204"/>
      <c r="E435" s="308"/>
      <c r="F435" s="309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308"/>
      <c r="C437" s="309"/>
      <c r="D437" s="204"/>
      <c r="E437" s="308"/>
      <c r="F437" s="309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94" t="s">
        <v>501</v>
      </c>
      <c r="C441" s="294"/>
      <c r="D441" s="208">
        <v>0.9</v>
      </c>
      <c r="E441" s="209" t="e">
        <f>G4</f>
        <v>#REF!</v>
      </c>
    </row>
    <row r="442" spans="1:24" s="206" customFormat="1" ht="18" customHeight="1" x14ac:dyDescent="0.25"/>
    <row r="443" spans="1:24" s="202" customFormat="1" ht="18" customHeight="1" x14ac:dyDescent="0.25">
      <c r="C443" s="295" t="s">
        <v>502</v>
      </c>
      <c r="D443" s="295"/>
      <c r="E443" s="295"/>
      <c r="F443" s="295"/>
      <c r="G443" s="295"/>
      <c r="H443" s="210"/>
      <c r="I443" s="203"/>
      <c r="J443" s="211"/>
    </row>
    <row r="444" spans="1:24" s="202" customFormat="1" ht="18" customHeight="1" x14ac:dyDescent="0.25">
      <c r="C444" s="295"/>
      <c r="D444" s="295"/>
      <c r="E444" s="295"/>
      <c r="F444" s="295"/>
      <c r="G444" s="295"/>
      <c r="H444" s="210"/>
      <c r="I444" s="206"/>
      <c r="J444" s="296" t="s">
        <v>503</v>
      </c>
      <c r="K444" s="296"/>
      <c r="L444" s="296"/>
      <c r="M444" s="296"/>
      <c r="N444" s="296"/>
      <c r="O444" s="296"/>
      <c r="P444" s="296"/>
      <c r="Q444" s="296"/>
      <c r="V444" s="297" t="s">
        <v>504</v>
      </c>
      <c r="W444" s="297"/>
      <c r="X444" s="297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98" t="s">
        <v>509</v>
      </c>
      <c r="K445" s="298"/>
      <c r="L445" s="298"/>
      <c r="M445" s="298"/>
      <c r="N445" s="298" t="s">
        <v>510</v>
      </c>
      <c r="O445" s="298"/>
      <c r="P445" s="298"/>
      <c r="Q445" s="298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310" t="s">
        <v>100</v>
      </c>
      <c r="D446" s="215">
        <v>44857</v>
      </c>
      <c r="E446" s="216">
        <v>0.5</v>
      </c>
      <c r="F446" s="216">
        <v>0.8</v>
      </c>
      <c r="G446" s="216"/>
      <c r="J446" s="298">
        <v>20</v>
      </c>
      <c r="K446" s="298"/>
      <c r="L446" s="298"/>
      <c r="M446" s="298"/>
      <c r="N446" s="311">
        <f t="shared" ref="N446:N461" si="45">_xlfn.BINOM.INV(J446,0.95,0.05)/J446</f>
        <v>0.85</v>
      </c>
      <c r="O446" s="311"/>
      <c r="P446" s="311"/>
      <c r="Q446" s="311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310"/>
      <c r="D447" s="215">
        <v>44857</v>
      </c>
      <c r="E447" s="216">
        <v>0.5</v>
      </c>
      <c r="F447" s="216">
        <v>0.5</v>
      </c>
      <c r="G447" s="216"/>
      <c r="J447" s="298">
        <v>30</v>
      </c>
      <c r="K447" s="298"/>
      <c r="L447" s="298"/>
      <c r="M447" s="298"/>
      <c r="N447" s="311">
        <f t="shared" si="45"/>
        <v>0.8666666666666667</v>
      </c>
      <c r="O447" s="311"/>
      <c r="P447" s="311"/>
      <c r="Q447" s="311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310"/>
      <c r="D448" s="215">
        <v>44857</v>
      </c>
      <c r="E448" s="216">
        <v>0.6</v>
      </c>
      <c r="F448" s="216">
        <v>0.6</v>
      </c>
      <c r="G448" s="216"/>
      <c r="J448" s="298">
        <v>40</v>
      </c>
      <c r="K448" s="298"/>
      <c r="L448" s="298"/>
      <c r="M448" s="298"/>
      <c r="N448" s="311">
        <f t="shared" si="45"/>
        <v>0.9</v>
      </c>
      <c r="O448" s="311"/>
      <c r="P448" s="311"/>
      <c r="Q448" s="311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310" t="s">
        <v>102</v>
      </c>
      <c r="D449" s="215">
        <v>44858</v>
      </c>
      <c r="E449" s="216">
        <v>0.7</v>
      </c>
      <c r="F449" s="216">
        <v>0.7</v>
      </c>
      <c r="G449" s="216"/>
      <c r="J449" s="298">
        <v>50</v>
      </c>
      <c r="K449" s="298"/>
      <c r="L449" s="298"/>
      <c r="M449" s="298"/>
      <c r="N449" s="311">
        <f t="shared" si="45"/>
        <v>0.9</v>
      </c>
      <c r="O449" s="311"/>
      <c r="P449" s="311"/>
      <c r="Q449" s="311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310"/>
      <c r="D450" s="215">
        <v>44858</v>
      </c>
      <c r="E450" s="216">
        <v>0.7</v>
      </c>
      <c r="F450" s="216">
        <v>0.7</v>
      </c>
      <c r="G450" s="216"/>
      <c r="J450" s="298">
        <v>60</v>
      </c>
      <c r="K450" s="298"/>
      <c r="L450" s="298"/>
      <c r="M450" s="298"/>
      <c r="N450" s="311">
        <f t="shared" si="45"/>
        <v>0.9</v>
      </c>
      <c r="O450" s="311"/>
      <c r="P450" s="311"/>
      <c r="Q450" s="311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310"/>
      <c r="D451" s="215">
        <v>44858</v>
      </c>
      <c r="E451" s="216">
        <v>0.8</v>
      </c>
      <c r="F451" s="216">
        <v>0.9</v>
      </c>
      <c r="G451" s="216"/>
      <c r="J451" s="298">
        <v>70</v>
      </c>
      <c r="K451" s="298"/>
      <c r="L451" s="298"/>
      <c r="M451" s="298"/>
      <c r="N451" s="311">
        <f t="shared" si="45"/>
        <v>0.9</v>
      </c>
      <c r="O451" s="311"/>
      <c r="P451" s="311"/>
      <c r="Q451" s="311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310" t="s">
        <v>103</v>
      </c>
      <c r="D452" s="215">
        <v>44859</v>
      </c>
      <c r="E452" s="216">
        <v>0.5</v>
      </c>
      <c r="F452" s="216">
        <v>0.6</v>
      </c>
      <c r="G452" s="216"/>
      <c r="J452" s="298">
        <v>80</v>
      </c>
      <c r="K452" s="298"/>
      <c r="L452" s="298"/>
      <c r="M452" s="298"/>
      <c r="N452" s="311">
        <f t="shared" si="45"/>
        <v>0.91249999999999998</v>
      </c>
      <c r="O452" s="311"/>
      <c r="P452" s="311"/>
      <c r="Q452" s="311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310"/>
      <c r="D453" s="215">
        <v>44859</v>
      </c>
      <c r="E453" s="216">
        <v>0.4</v>
      </c>
      <c r="F453" s="216">
        <v>0.5</v>
      </c>
      <c r="G453" s="216"/>
      <c r="J453" s="298">
        <v>90</v>
      </c>
      <c r="K453" s="298"/>
      <c r="L453" s="298"/>
      <c r="M453" s="298"/>
      <c r="N453" s="311">
        <f t="shared" si="45"/>
        <v>0.91111111111111109</v>
      </c>
      <c r="O453" s="311"/>
      <c r="P453" s="311"/>
      <c r="Q453" s="311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310"/>
      <c r="D454" s="215">
        <v>44859</v>
      </c>
      <c r="E454" s="216">
        <v>0.6</v>
      </c>
      <c r="F454" s="216">
        <v>0.7</v>
      </c>
      <c r="G454" s="216"/>
      <c r="J454" s="298">
        <v>100</v>
      </c>
      <c r="K454" s="298"/>
      <c r="L454" s="298"/>
      <c r="M454" s="298"/>
      <c r="N454" s="311">
        <f t="shared" si="45"/>
        <v>0.91</v>
      </c>
      <c r="O454" s="311"/>
      <c r="P454" s="311"/>
      <c r="Q454" s="311"/>
      <c r="S454" s="313" t="s">
        <v>511</v>
      </c>
      <c r="T454" s="313"/>
      <c r="U454" s="214">
        <f>SUM(V445:X453)</f>
        <v>27</v>
      </c>
    </row>
    <row r="455" spans="1:24" s="202" customFormat="1" ht="18" customHeight="1" x14ac:dyDescent="0.25">
      <c r="J455" s="298">
        <v>150</v>
      </c>
      <c r="K455" s="298"/>
      <c r="L455" s="298"/>
      <c r="M455" s="298"/>
      <c r="N455" s="311">
        <f t="shared" si="45"/>
        <v>0.92</v>
      </c>
      <c r="O455" s="311"/>
      <c r="P455" s="311"/>
      <c r="Q455" s="311"/>
      <c r="S455" s="313" t="s">
        <v>512</v>
      </c>
      <c r="T455" s="313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98">
        <v>200</v>
      </c>
      <c r="K456" s="298"/>
      <c r="L456" s="298"/>
      <c r="M456" s="298"/>
      <c r="N456" s="311">
        <f t="shared" si="45"/>
        <v>0.92500000000000004</v>
      </c>
      <c r="O456" s="311"/>
      <c r="P456" s="311"/>
      <c r="Q456" s="311"/>
    </row>
    <row r="457" spans="1:24" s="202" customFormat="1" ht="18" customHeight="1" x14ac:dyDescent="0.25">
      <c r="B457" s="312" t="s">
        <v>514</v>
      </c>
      <c r="C457" s="312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98">
        <v>250</v>
      </c>
      <c r="K457" s="298"/>
      <c r="L457" s="298"/>
      <c r="M457" s="298"/>
      <c r="N457" s="311">
        <f t="shared" si="45"/>
        <v>0.92800000000000005</v>
      </c>
      <c r="O457" s="311"/>
      <c r="P457" s="311"/>
      <c r="Q457" s="311"/>
    </row>
    <row r="458" spans="1:24" s="202" customFormat="1" ht="18" customHeight="1" x14ac:dyDescent="0.25">
      <c r="B458" s="312" t="s">
        <v>516</v>
      </c>
      <c r="C458" s="312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98">
        <v>300</v>
      </c>
      <c r="K458" s="298"/>
      <c r="L458" s="298"/>
      <c r="M458" s="298"/>
      <c r="N458" s="311">
        <f t="shared" si="45"/>
        <v>0.93</v>
      </c>
      <c r="O458" s="311"/>
      <c r="P458" s="311"/>
      <c r="Q458" s="311"/>
    </row>
    <row r="459" spans="1:24" s="202" customFormat="1" ht="18" customHeight="1" x14ac:dyDescent="0.25">
      <c r="B459" s="312" t="s">
        <v>518</v>
      </c>
      <c r="C459" s="312"/>
      <c r="D459" s="214">
        <f>_xlfn.STDEV.P(E446:G454)</f>
        <v>0.12825995978461377</v>
      </c>
      <c r="J459" s="298">
        <v>400</v>
      </c>
      <c r="K459" s="298"/>
      <c r="L459" s="298"/>
      <c r="M459" s="298"/>
      <c r="N459" s="311">
        <f t="shared" si="45"/>
        <v>0.9325</v>
      </c>
      <c r="O459" s="311"/>
      <c r="P459" s="311"/>
      <c r="Q459" s="311"/>
    </row>
    <row r="460" spans="1:24" s="202" customFormat="1" ht="18" customHeight="1" x14ac:dyDescent="0.25">
      <c r="A460" s="317" t="s">
        <v>519</v>
      </c>
      <c r="B460" s="317"/>
      <c r="C460" s="317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98">
        <v>500</v>
      </c>
      <c r="K460" s="298"/>
      <c r="L460" s="298"/>
      <c r="M460" s="298"/>
      <c r="N460" s="311">
        <f t="shared" si="45"/>
        <v>0.93400000000000005</v>
      </c>
      <c r="O460" s="311"/>
      <c r="P460" s="311"/>
      <c r="Q460" s="311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98">
        <v>1000</v>
      </c>
      <c r="K461" s="298"/>
      <c r="L461" s="298"/>
      <c r="M461" s="298"/>
      <c r="N461" s="311">
        <f t="shared" si="45"/>
        <v>0.93799999999999994</v>
      </c>
      <c r="O461" s="311"/>
      <c r="P461" s="311"/>
      <c r="Q461" s="311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94" t="s">
        <v>522</v>
      </c>
      <c r="C467" s="294"/>
      <c r="D467" s="223">
        <v>1.1000000000000001</v>
      </c>
      <c r="E467" s="209" t="e">
        <f>G4</f>
        <v>#REF!</v>
      </c>
    </row>
    <row r="468" spans="2:24" s="202" customFormat="1" ht="18" customHeight="1" x14ac:dyDescent="0.25">
      <c r="K468" s="224"/>
      <c r="L468" s="224"/>
      <c r="M468" s="224"/>
      <c r="V468" s="314" t="s">
        <v>523</v>
      </c>
      <c r="W468" s="314"/>
      <c r="X468" s="314"/>
    </row>
    <row r="469" spans="2:24" s="202" customFormat="1" ht="18" customHeight="1" x14ac:dyDescent="0.25">
      <c r="C469" s="315" t="s">
        <v>524</v>
      </c>
      <c r="D469" s="315"/>
      <c r="E469" s="315"/>
      <c r="F469" s="315"/>
      <c r="G469" s="315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315"/>
      <c r="D470" s="315"/>
      <c r="E470" s="315"/>
      <c r="F470" s="315"/>
      <c r="G470" s="315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316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316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316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316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316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316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316" t="s">
        <v>103</v>
      </c>
      <c r="D478" s="215">
        <v>44859</v>
      </c>
      <c r="E478" s="216">
        <v>1.2</v>
      </c>
      <c r="F478" s="216">
        <v>1.1000000000000001</v>
      </c>
      <c r="G478" s="216"/>
      <c r="S478" s="313" t="s">
        <v>526</v>
      </c>
      <c r="T478" s="313"/>
      <c r="U478" s="214">
        <f>SUM(V469:X477)</f>
        <v>17</v>
      </c>
    </row>
    <row r="479" spans="2:24" s="202" customFormat="1" ht="18" customHeight="1" x14ac:dyDescent="0.25">
      <c r="C479" s="316"/>
      <c r="D479" s="215">
        <v>44859</v>
      </c>
      <c r="E479" s="216">
        <v>1.1000000000000001</v>
      </c>
      <c r="F479" s="216">
        <v>0.9</v>
      </c>
      <c r="G479" s="216"/>
      <c r="S479" s="313" t="s">
        <v>527</v>
      </c>
      <c r="T479" s="313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316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312" t="s">
        <v>514</v>
      </c>
      <c r="C483" s="312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312" t="s">
        <v>529</v>
      </c>
      <c r="C484" s="312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319" t="s">
        <v>532</v>
      </c>
      <c r="C492" s="319"/>
      <c r="D492" s="223">
        <v>1.5</v>
      </c>
      <c r="E492" s="209" t="e">
        <f>G4</f>
        <v>#REF!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320" t="s">
        <v>533</v>
      </c>
      <c r="D495" s="320"/>
      <c r="E495" s="320"/>
      <c r="F495" s="320"/>
      <c r="G495" s="320"/>
    </row>
    <row r="496" spans="1:12" s="202" customFormat="1" ht="18" customHeight="1" x14ac:dyDescent="0.25">
      <c r="C496" s="320"/>
      <c r="D496" s="320"/>
      <c r="E496" s="320"/>
      <c r="F496" s="320"/>
      <c r="G496" s="320"/>
      <c r="J496" s="297" t="s">
        <v>534</v>
      </c>
      <c r="K496" s="297"/>
      <c r="L496" s="297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97" t="s">
        <v>536</v>
      </c>
      <c r="S497" s="297"/>
      <c r="T497" s="297"/>
      <c r="V497" s="297" t="s">
        <v>537</v>
      </c>
      <c r="W497" s="297"/>
      <c r="X497" s="297"/>
    </row>
    <row r="498" spans="2:24" s="202" customFormat="1" ht="18" customHeight="1" x14ac:dyDescent="0.25">
      <c r="C498" s="316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316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316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316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316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316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316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316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316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321" t="s">
        <v>538</v>
      </c>
      <c r="D507" s="321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317" t="s">
        <v>539</v>
      </c>
      <c r="P507" s="317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317" t="s">
        <v>540</v>
      </c>
      <c r="P508" s="317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318"/>
      <c r="W510" s="318"/>
      <c r="X510" s="318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312" t="s">
        <v>514</v>
      </c>
      <c r="C512" s="312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312" t="s">
        <v>542</v>
      </c>
      <c r="C513" s="312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312" t="s">
        <v>543</v>
      </c>
      <c r="B514" s="312"/>
      <c r="C514" s="312"/>
      <c r="D514" s="227">
        <f>AVERAGE(E507:G507)</f>
        <v>15.222222222222221</v>
      </c>
    </row>
    <row r="515" spans="1:7" s="202" customFormat="1" ht="18" customHeight="1" x14ac:dyDescent="0.25">
      <c r="A515" s="318"/>
      <c r="B515" s="318"/>
      <c r="C515" s="318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313" t="s">
        <v>544</v>
      </c>
      <c r="C516" s="313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35" priority="28" operator="greaterThan">
      <formula>1.1</formula>
    </cfRule>
    <cfRule type="cellIs" dxfId="34" priority="27" operator="lessThan">
      <formula>0.9</formula>
    </cfRule>
    <cfRule type="cellIs" dxfId="33" priority="26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5">
      <formula>#REF!="Fail"</formula>
    </cfRule>
    <cfRule type="expression" dxfId="23" priority="36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1" operator="lessThan">
      <formula>0.95</formula>
    </cfRule>
    <cfRule type="cellIs" dxfId="4" priority="32" operator="greaterThanOrEqual">
      <formula>0.95</formula>
    </cfRule>
  </conditionalFormatting>
  <conditionalFormatting sqref="J164">
    <cfRule type="cellIs" dxfId="3" priority="29" operator="lessThan">
      <formula>0.9025</formula>
    </cfRule>
    <cfRule type="cellIs" dxfId="2" priority="30" operator="greaterThanOrEqual">
      <formula>0.9025</formula>
    </cfRule>
  </conditionalFormatting>
  <conditionalFormatting sqref="J61:K160">
    <cfRule type="cellIs" dxfId="1" priority="33" operator="equal">
      <formula>"EXCLUDE"</formula>
    </cfRule>
    <cfRule type="cellIs" dxfId="0" priority="34" operator="equal">
      <formula>"INCLUDE"</formula>
    </cfRule>
  </conditionalFormatting>
  <dataValidations count="10">
    <dataValidation type="list" allowBlank="1" showInputMessage="1" showErrorMessage="1" sqref="J61:J160" xr:uid="{48F4AA3A-4076-40DD-A533-CA12DB8944C1}">
      <formula1>"INCLUDE,EXCLUDE"</formula1>
    </dataValidation>
    <dataValidation type="list" allowBlank="1" showInputMessage="1" showErrorMessage="1" sqref="D357" xr:uid="{1C4A134B-2819-4971-B21B-5247F300E539}">
      <formula1>"Optimal,Desirable,Minimal"</formula1>
    </dataValidation>
    <dataValidation allowBlank="1" showInputMessage="1" showErrorMessage="1" prompt="Enter required information" sqref="B42:B45 D48" xr:uid="{7D014088-690F-4249-A4B6-2635E0A0A893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43D139A-122A-4971-ADFC-87CC25669804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58FC02D-FAFD-4235-AB23-AA79BDCA223E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786F7002-966B-4BA4-9136-181D02597766}">
      <formula1>0</formula1>
      <formula2>0</formula2>
    </dataValidation>
    <dataValidation allowBlank="1" showErrorMessage="1" prompt="Enter required information" sqref="E46:G46" xr:uid="{185CC50D-696D-45EE-9095-1E0016B4EE9F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E90EA582-199C-43C5-BE71-D708C3AE6139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BCF53E76-830A-4024-9394-78C77384950A}">
      <formula1>0</formula1>
      <formula2>0</formula2>
    </dataValidation>
    <dataValidation allowBlank="1" showErrorMessage="1" sqref="B10:H10 B12 F12:H12" xr:uid="{B29AFD81-D06F-43EC-9DCA-DA40375214C5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2808-C13B-42EF-BA2A-D9C2CDEDC95A}">
  <dimension ref="A1:C101"/>
  <sheetViews>
    <sheetView tabSelected="1" workbookViewId="0">
      <selection activeCell="B8" sqref="B8"/>
    </sheetView>
  </sheetViews>
  <sheetFormatPr defaultRowHeight="15" x14ac:dyDescent="0.25"/>
  <sheetData>
    <row r="1" spans="1:3" x14ac:dyDescent="0.25">
      <c r="B1" t="s">
        <v>559</v>
      </c>
      <c r="C1" t="s">
        <v>560</v>
      </c>
    </row>
    <row r="2" spans="1:3" x14ac:dyDescent="0.25">
      <c r="A2">
        <v>1</v>
      </c>
      <c r="B2">
        <v>91</v>
      </c>
      <c r="C2">
        <v>70.832064307458097</v>
      </c>
    </row>
    <row r="3" spans="1:3" x14ac:dyDescent="0.25">
      <c r="A3">
        <v>2</v>
      </c>
      <c r="B3">
        <v>96</v>
      </c>
      <c r="C3">
        <v>77.966105039465702</v>
      </c>
    </row>
    <row r="4" spans="1:3" x14ac:dyDescent="0.25">
      <c r="A4">
        <v>3</v>
      </c>
      <c r="B4">
        <v>65</v>
      </c>
      <c r="C4">
        <v>78.655570776255701</v>
      </c>
    </row>
    <row r="5" spans="1:3" x14ac:dyDescent="0.25">
      <c r="A5">
        <v>4</v>
      </c>
      <c r="B5">
        <v>225</v>
      </c>
      <c r="C5">
        <v>62.275342465753397</v>
      </c>
    </row>
    <row r="6" spans="1:3" x14ac:dyDescent="0.25">
      <c r="A6">
        <v>5</v>
      </c>
      <c r="B6">
        <v>69</v>
      </c>
      <c r="C6">
        <v>19.539609969558601</v>
      </c>
    </row>
    <row r="7" spans="1:3" x14ac:dyDescent="0.25">
      <c r="A7">
        <v>6</v>
      </c>
      <c r="B7">
        <v>62</v>
      </c>
      <c r="C7">
        <v>63.1686339421613</v>
      </c>
    </row>
    <row r="8" spans="1:3" x14ac:dyDescent="0.25">
      <c r="A8">
        <v>7</v>
      </c>
      <c r="B8">
        <v>86</v>
      </c>
      <c r="C8">
        <v>75.798025114155294</v>
      </c>
    </row>
    <row r="9" spans="1:3" x14ac:dyDescent="0.25">
      <c r="A9">
        <v>8</v>
      </c>
      <c r="B9">
        <v>84</v>
      </c>
      <c r="C9">
        <v>74.880525114155205</v>
      </c>
    </row>
    <row r="10" spans="1:3" x14ac:dyDescent="0.25">
      <c r="A10">
        <v>9</v>
      </c>
      <c r="B10">
        <v>68</v>
      </c>
      <c r="C10">
        <v>63.2809246575342</v>
      </c>
    </row>
    <row r="11" spans="1:3" x14ac:dyDescent="0.25">
      <c r="A11">
        <v>10</v>
      </c>
      <c r="B11">
        <v>73</v>
      </c>
      <c r="C11">
        <v>33.7574200913242</v>
      </c>
    </row>
    <row r="12" spans="1:3" x14ac:dyDescent="0.25">
      <c r="A12">
        <v>11</v>
      </c>
      <c r="B12">
        <v>77</v>
      </c>
      <c r="C12">
        <v>45.250574581430698</v>
      </c>
    </row>
    <row r="13" spans="1:3" x14ac:dyDescent="0.25">
      <c r="A13">
        <v>12</v>
      </c>
      <c r="B13">
        <v>85</v>
      </c>
      <c r="C13">
        <v>76.705102739726001</v>
      </c>
    </row>
    <row r="14" spans="1:3" x14ac:dyDescent="0.25">
      <c r="A14">
        <v>13</v>
      </c>
      <c r="B14">
        <v>105</v>
      </c>
      <c r="C14">
        <v>73.3051484018265</v>
      </c>
    </row>
    <row r="15" spans="1:3" x14ac:dyDescent="0.25">
      <c r="A15">
        <v>14</v>
      </c>
      <c r="B15">
        <v>51</v>
      </c>
      <c r="C15">
        <v>35.280631659056297</v>
      </c>
    </row>
    <row r="16" spans="1:3" x14ac:dyDescent="0.25">
      <c r="A16">
        <v>15</v>
      </c>
      <c r="B16">
        <v>66</v>
      </c>
      <c r="C16">
        <v>47.759931506849298</v>
      </c>
    </row>
    <row r="17" spans="1:3" x14ac:dyDescent="0.25">
      <c r="A17">
        <v>16</v>
      </c>
      <c r="B17">
        <v>80</v>
      </c>
      <c r="C17">
        <v>62.798890791476403</v>
      </c>
    </row>
    <row r="18" spans="1:3" x14ac:dyDescent="0.25">
      <c r="A18">
        <v>17</v>
      </c>
      <c r="B18">
        <v>35</v>
      </c>
      <c r="C18">
        <v>69.205858066971103</v>
      </c>
    </row>
    <row r="19" spans="1:3" x14ac:dyDescent="0.25">
      <c r="A19">
        <v>18</v>
      </c>
      <c r="B19">
        <v>52</v>
      </c>
      <c r="C19">
        <v>22.129994292237399</v>
      </c>
    </row>
    <row r="20" spans="1:3" x14ac:dyDescent="0.25">
      <c r="A20">
        <v>19</v>
      </c>
      <c r="B20">
        <v>135</v>
      </c>
      <c r="C20">
        <v>48.233980213089801</v>
      </c>
    </row>
    <row r="21" spans="1:3" x14ac:dyDescent="0.25">
      <c r="A21">
        <v>20</v>
      </c>
      <c r="B21">
        <v>225</v>
      </c>
      <c r="C21">
        <v>62.275342465753397</v>
      </c>
    </row>
    <row r="22" spans="1:3" x14ac:dyDescent="0.25">
      <c r="A22">
        <v>21</v>
      </c>
      <c r="B22">
        <v>41</v>
      </c>
      <c r="C22">
        <v>60.261371765601197</v>
      </c>
    </row>
    <row r="23" spans="1:3" x14ac:dyDescent="0.25">
      <c r="A23">
        <v>22</v>
      </c>
      <c r="B23">
        <v>38</v>
      </c>
      <c r="C23">
        <v>56.3000209284627</v>
      </c>
    </row>
    <row r="24" spans="1:3" x14ac:dyDescent="0.25">
      <c r="A24">
        <v>23</v>
      </c>
      <c r="B24">
        <v>70</v>
      </c>
      <c r="C24">
        <v>78.327052891932993</v>
      </c>
    </row>
    <row r="25" spans="1:3" x14ac:dyDescent="0.25">
      <c r="A25">
        <v>24</v>
      </c>
      <c r="B25">
        <v>82</v>
      </c>
      <c r="C25">
        <v>72.409335996955903</v>
      </c>
    </row>
    <row r="26" spans="1:3" x14ac:dyDescent="0.25">
      <c r="A26">
        <v>25</v>
      </c>
      <c r="B26">
        <v>52</v>
      </c>
      <c r="C26">
        <v>77.670015220700193</v>
      </c>
    </row>
    <row r="27" spans="1:3" x14ac:dyDescent="0.25">
      <c r="A27">
        <v>26</v>
      </c>
      <c r="B27">
        <v>48</v>
      </c>
      <c r="C27">
        <v>78.830606925418607</v>
      </c>
    </row>
    <row r="28" spans="1:3" x14ac:dyDescent="0.25">
      <c r="A28">
        <v>27</v>
      </c>
      <c r="B28">
        <v>90</v>
      </c>
      <c r="C28">
        <v>43.085985540334903</v>
      </c>
    </row>
    <row r="29" spans="1:3" x14ac:dyDescent="0.25">
      <c r="A29">
        <v>28</v>
      </c>
      <c r="B29">
        <v>81</v>
      </c>
      <c r="C29">
        <v>58.491457382039599</v>
      </c>
    </row>
    <row r="30" spans="1:3" x14ac:dyDescent="0.25">
      <c r="A30">
        <v>29</v>
      </c>
      <c r="B30">
        <v>58</v>
      </c>
      <c r="C30">
        <v>39.713953576864498</v>
      </c>
    </row>
    <row r="31" spans="1:3" x14ac:dyDescent="0.25">
      <c r="A31">
        <v>30</v>
      </c>
      <c r="B31">
        <v>86</v>
      </c>
      <c r="C31">
        <v>71.711015981735201</v>
      </c>
    </row>
    <row r="32" spans="1:3" x14ac:dyDescent="0.25">
      <c r="A32">
        <v>31</v>
      </c>
      <c r="B32">
        <v>89</v>
      </c>
      <c r="C32">
        <v>27.467832952815801</v>
      </c>
    </row>
    <row r="33" spans="1:3" x14ac:dyDescent="0.25">
      <c r="A33">
        <v>32</v>
      </c>
      <c r="B33">
        <v>100</v>
      </c>
      <c r="C33">
        <v>65.612047184170507</v>
      </c>
    </row>
    <row r="34" spans="1:3" x14ac:dyDescent="0.25">
      <c r="A34">
        <v>33</v>
      </c>
      <c r="B34">
        <v>114</v>
      </c>
      <c r="C34">
        <v>42.2753234398782</v>
      </c>
    </row>
    <row r="35" spans="1:3" x14ac:dyDescent="0.25">
      <c r="A35">
        <v>34</v>
      </c>
      <c r="B35">
        <v>113</v>
      </c>
      <c r="C35">
        <v>69.144845890411005</v>
      </c>
    </row>
    <row r="36" spans="1:3" x14ac:dyDescent="0.25">
      <c r="A36">
        <v>35</v>
      </c>
      <c r="B36">
        <v>90</v>
      </c>
      <c r="C36">
        <v>69.565804794520503</v>
      </c>
    </row>
    <row r="37" spans="1:3" x14ac:dyDescent="0.25">
      <c r="A37">
        <v>36</v>
      </c>
      <c r="B37">
        <v>95</v>
      </c>
      <c r="C37">
        <v>73.919316971080704</v>
      </c>
    </row>
    <row r="38" spans="1:3" x14ac:dyDescent="0.25">
      <c r="A38">
        <v>37</v>
      </c>
      <c r="B38">
        <v>66</v>
      </c>
      <c r="C38">
        <v>47.759931506849298</v>
      </c>
    </row>
    <row r="39" spans="1:3" x14ac:dyDescent="0.25">
      <c r="A39">
        <v>38</v>
      </c>
      <c r="B39">
        <v>57</v>
      </c>
      <c r="C39">
        <v>22.855675418569302</v>
      </c>
    </row>
    <row r="40" spans="1:3" x14ac:dyDescent="0.25">
      <c r="A40">
        <v>39</v>
      </c>
      <c r="B40">
        <v>103</v>
      </c>
      <c r="C40">
        <v>77.676883561643805</v>
      </c>
    </row>
    <row r="41" spans="1:3" x14ac:dyDescent="0.25">
      <c r="A41">
        <v>40</v>
      </c>
      <c r="B41">
        <v>113</v>
      </c>
      <c r="C41">
        <v>72.572195585996994</v>
      </c>
    </row>
    <row r="42" spans="1:3" x14ac:dyDescent="0.25">
      <c r="A42">
        <v>41</v>
      </c>
      <c r="B42">
        <v>90</v>
      </c>
      <c r="C42">
        <v>69.565804794520503</v>
      </c>
    </row>
    <row r="43" spans="1:3" x14ac:dyDescent="0.25">
      <c r="A43">
        <v>42</v>
      </c>
      <c r="B43">
        <v>135</v>
      </c>
      <c r="C43">
        <v>48.233980213089801</v>
      </c>
    </row>
    <row r="44" spans="1:3" x14ac:dyDescent="0.25">
      <c r="A44">
        <v>43</v>
      </c>
      <c r="B44">
        <v>75</v>
      </c>
      <c r="C44">
        <v>66.2040201674277</v>
      </c>
    </row>
    <row r="45" spans="1:3" x14ac:dyDescent="0.25">
      <c r="A45">
        <v>44</v>
      </c>
      <c r="B45">
        <v>35</v>
      </c>
      <c r="C45">
        <v>69.205858066971103</v>
      </c>
    </row>
    <row r="46" spans="1:3" x14ac:dyDescent="0.25">
      <c r="A46">
        <v>45</v>
      </c>
      <c r="B46">
        <v>114</v>
      </c>
      <c r="C46">
        <v>42.788057458143101</v>
      </c>
    </row>
    <row r="47" spans="1:3" x14ac:dyDescent="0.25">
      <c r="A47">
        <v>46</v>
      </c>
      <c r="B47">
        <v>78</v>
      </c>
      <c r="C47">
        <v>64.200998858447505</v>
      </c>
    </row>
    <row r="48" spans="1:3" x14ac:dyDescent="0.25">
      <c r="A48">
        <v>47</v>
      </c>
      <c r="B48">
        <v>66</v>
      </c>
      <c r="C48">
        <v>47.759931506849298</v>
      </c>
    </row>
    <row r="49" spans="1:3" x14ac:dyDescent="0.25">
      <c r="A49">
        <v>48</v>
      </c>
      <c r="B49">
        <v>57</v>
      </c>
      <c r="C49">
        <v>22.855675418569302</v>
      </c>
    </row>
    <row r="50" spans="1:3" x14ac:dyDescent="0.25">
      <c r="A50">
        <v>49</v>
      </c>
      <c r="B50">
        <v>105</v>
      </c>
      <c r="C50">
        <v>73.3051484018265</v>
      </c>
    </row>
    <row r="51" spans="1:3" x14ac:dyDescent="0.25">
      <c r="A51">
        <v>50</v>
      </c>
      <c r="B51">
        <v>60</v>
      </c>
      <c r="C51">
        <v>63.628413242009103</v>
      </c>
    </row>
    <row r="52" spans="1:3" x14ac:dyDescent="0.25">
      <c r="A52">
        <v>51</v>
      </c>
      <c r="B52">
        <v>85</v>
      </c>
      <c r="C52">
        <v>76.705102739726001</v>
      </c>
    </row>
    <row r="53" spans="1:3" x14ac:dyDescent="0.25">
      <c r="A53">
        <v>52</v>
      </c>
      <c r="B53">
        <v>105</v>
      </c>
      <c r="C53">
        <v>73.3051484018265</v>
      </c>
    </row>
    <row r="54" spans="1:3" x14ac:dyDescent="0.25">
      <c r="A54">
        <v>53</v>
      </c>
      <c r="B54">
        <v>67</v>
      </c>
      <c r="C54">
        <v>78.401118721461202</v>
      </c>
    </row>
    <row r="55" spans="1:3" x14ac:dyDescent="0.25">
      <c r="A55">
        <v>54</v>
      </c>
      <c r="B55">
        <v>59</v>
      </c>
      <c r="C55">
        <v>41.7852929984779</v>
      </c>
    </row>
    <row r="56" spans="1:3" x14ac:dyDescent="0.25">
      <c r="A56">
        <v>55</v>
      </c>
      <c r="B56">
        <v>112</v>
      </c>
      <c r="C56">
        <v>72.162441019786897</v>
      </c>
    </row>
    <row r="57" spans="1:3" x14ac:dyDescent="0.25">
      <c r="A57">
        <v>56</v>
      </c>
      <c r="B57">
        <v>50</v>
      </c>
      <c r="C57">
        <v>78.312142313546403</v>
      </c>
    </row>
    <row r="58" spans="1:3" x14ac:dyDescent="0.25">
      <c r="A58">
        <v>57</v>
      </c>
      <c r="B58">
        <v>69</v>
      </c>
      <c r="C58">
        <v>46.8372526636225</v>
      </c>
    </row>
    <row r="59" spans="1:3" x14ac:dyDescent="0.25">
      <c r="A59">
        <v>58</v>
      </c>
      <c r="B59">
        <v>74</v>
      </c>
      <c r="C59">
        <v>44.466963470319598</v>
      </c>
    </row>
    <row r="60" spans="1:3" x14ac:dyDescent="0.25">
      <c r="A60">
        <v>59</v>
      </c>
      <c r="B60">
        <v>71</v>
      </c>
      <c r="C60">
        <v>65.453129756468797</v>
      </c>
    </row>
    <row r="61" spans="1:3" x14ac:dyDescent="0.25">
      <c r="A61">
        <v>60</v>
      </c>
      <c r="B61">
        <v>95</v>
      </c>
      <c r="C61">
        <v>56.883190639269401</v>
      </c>
    </row>
    <row r="62" spans="1:3" x14ac:dyDescent="0.25">
      <c r="A62">
        <v>61</v>
      </c>
      <c r="B62">
        <v>106</v>
      </c>
      <c r="C62">
        <v>73.443118340943698</v>
      </c>
    </row>
    <row r="63" spans="1:3" x14ac:dyDescent="0.25">
      <c r="A63">
        <v>62</v>
      </c>
      <c r="B63">
        <v>92</v>
      </c>
      <c r="C63">
        <v>20.724891552511401</v>
      </c>
    </row>
    <row r="64" spans="1:3" x14ac:dyDescent="0.25">
      <c r="A64">
        <v>63</v>
      </c>
      <c r="B64">
        <v>78</v>
      </c>
      <c r="C64">
        <v>64.200998858447505</v>
      </c>
    </row>
    <row r="65" spans="1:3" x14ac:dyDescent="0.25">
      <c r="A65">
        <v>64</v>
      </c>
      <c r="B65">
        <v>146</v>
      </c>
      <c r="C65">
        <v>68.839453957382005</v>
      </c>
    </row>
    <row r="66" spans="1:3" x14ac:dyDescent="0.25">
      <c r="A66">
        <v>65</v>
      </c>
      <c r="B66">
        <v>144</v>
      </c>
      <c r="C66">
        <v>70.645403348553998</v>
      </c>
    </row>
    <row r="67" spans="1:3" x14ac:dyDescent="0.25">
      <c r="A67">
        <v>66</v>
      </c>
      <c r="B67">
        <v>82</v>
      </c>
      <c r="C67">
        <v>63.542623668188703</v>
      </c>
    </row>
    <row r="68" spans="1:3" x14ac:dyDescent="0.25">
      <c r="A68">
        <v>67</v>
      </c>
      <c r="B68">
        <v>144</v>
      </c>
      <c r="C68">
        <v>70.645403348553998</v>
      </c>
    </row>
    <row r="69" spans="1:3" x14ac:dyDescent="0.25">
      <c r="A69">
        <v>68</v>
      </c>
      <c r="B69">
        <v>170</v>
      </c>
      <c r="C69">
        <v>72.9467237442922</v>
      </c>
    </row>
    <row r="70" spans="1:3" x14ac:dyDescent="0.25">
      <c r="A70">
        <v>69</v>
      </c>
      <c r="B70">
        <v>58</v>
      </c>
      <c r="C70">
        <v>39.713953576864498</v>
      </c>
    </row>
    <row r="71" spans="1:3" x14ac:dyDescent="0.25">
      <c r="A71">
        <v>70</v>
      </c>
      <c r="B71">
        <v>84</v>
      </c>
      <c r="C71">
        <v>74.880525114155205</v>
      </c>
    </row>
    <row r="72" spans="1:3" x14ac:dyDescent="0.25">
      <c r="A72">
        <v>71</v>
      </c>
      <c r="B72">
        <v>170</v>
      </c>
      <c r="C72">
        <v>72.9467237442922</v>
      </c>
    </row>
    <row r="73" spans="1:3" x14ac:dyDescent="0.25">
      <c r="A73">
        <v>72</v>
      </c>
      <c r="B73">
        <v>84</v>
      </c>
      <c r="C73">
        <v>68.752867199391204</v>
      </c>
    </row>
    <row r="74" spans="1:3" x14ac:dyDescent="0.25">
      <c r="A74">
        <v>73</v>
      </c>
      <c r="B74">
        <v>95</v>
      </c>
      <c r="C74">
        <v>56.883190639269401</v>
      </c>
    </row>
    <row r="75" spans="1:3" x14ac:dyDescent="0.25">
      <c r="A75">
        <v>74</v>
      </c>
      <c r="B75">
        <v>82</v>
      </c>
      <c r="C75">
        <v>67.155112252663599</v>
      </c>
    </row>
    <row r="76" spans="1:3" x14ac:dyDescent="0.25">
      <c r="A76">
        <v>75</v>
      </c>
      <c r="B76">
        <v>82</v>
      </c>
      <c r="C76">
        <v>67.822910958904103</v>
      </c>
    </row>
    <row r="77" spans="1:3" x14ac:dyDescent="0.25">
      <c r="A77">
        <v>76</v>
      </c>
      <c r="B77">
        <v>67</v>
      </c>
      <c r="C77">
        <v>78.401118721461202</v>
      </c>
    </row>
    <row r="78" spans="1:3" x14ac:dyDescent="0.25">
      <c r="A78">
        <v>77</v>
      </c>
      <c r="B78">
        <v>71</v>
      </c>
      <c r="C78">
        <v>23.124256088280099</v>
      </c>
    </row>
    <row r="79" spans="1:3" x14ac:dyDescent="0.25">
      <c r="A79">
        <v>78</v>
      </c>
      <c r="B79">
        <v>77</v>
      </c>
      <c r="C79">
        <v>76.250294901065402</v>
      </c>
    </row>
    <row r="80" spans="1:3" x14ac:dyDescent="0.25">
      <c r="A80">
        <v>79</v>
      </c>
      <c r="B80">
        <v>79</v>
      </c>
      <c r="C80">
        <v>61.1106773211568</v>
      </c>
    </row>
    <row r="81" spans="1:3" x14ac:dyDescent="0.25">
      <c r="A81">
        <v>80</v>
      </c>
      <c r="B81">
        <v>181</v>
      </c>
      <c r="C81">
        <v>72.809520547945198</v>
      </c>
    </row>
    <row r="82" spans="1:3" x14ac:dyDescent="0.25">
      <c r="A82">
        <v>81</v>
      </c>
      <c r="B82">
        <v>58</v>
      </c>
      <c r="C82">
        <v>39.713953576864498</v>
      </c>
    </row>
    <row r="83" spans="1:3" x14ac:dyDescent="0.25">
      <c r="A83">
        <v>82</v>
      </c>
      <c r="B83">
        <v>86</v>
      </c>
      <c r="C83">
        <v>71.590079908675804</v>
      </c>
    </row>
    <row r="84" spans="1:3" x14ac:dyDescent="0.25">
      <c r="A84">
        <v>83</v>
      </c>
      <c r="B84">
        <v>77</v>
      </c>
      <c r="C84">
        <v>78.621044520547898</v>
      </c>
    </row>
    <row r="85" spans="1:3" x14ac:dyDescent="0.25">
      <c r="A85">
        <v>84</v>
      </c>
      <c r="B85">
        <v>258</v>
      </c>
      <c r="C85">
        <v>79.689773592085203</v>
      </c>
    </row>
    <row r="86" spans="1:3" x14ac:dyDescent="0.25">
      <c r="A86">
        <v>85</v>
      </c>
      <c r="B86">
        <v>77</v>
      </c>
      <c r="C86">
        <v>78.621044520547898</v>
      </c>
    </row>
    <row r="87" spans="1:3" x14ac:dyDescent="0.25">
      <c r="A87">
        <v>86</v>
      </c>
      <c r="B87">
        <v>49</v>
      </c>
      <c r="C87">
        <v>70.381516362252697</v>
      </c>
    </row>
    <row r="88" spans="1:3" x14ac:dyDescent="0.25">
      <c r="A88">
        <v>87</v>
      </c>
      <c r="B88">
        <v>73</v>
      </c>
      <c r="C88">
        <v>33.7574200913242</v>
      </c>
    </row>
    <row r="89" spans="1:3" x14ac:dyDescent="0.25">
      <c r="A89">
        <v>88</v>
      </c>
      <c r="B89">
        <v>68</v>
      </c>
      <c r="C89">
        <v>63.2809246575342</v>
      </c>
    </row>
    <row r="90" spans="1:3" x14ac:dyDescent="0.25">
      <c r="A90">
        <v>89</v>
      </c>
      <c r="B90">
        <v>86</v>
      </c>
      <c r="C90">
        <v>71.590079908675804</v>
      </c>
    </row>
    <row r="91" spans="1:3" x14ac:dyDescent="0.25">
      <c r="A91">
        <v>90</v>
      </c>
      <c r="B91">
        <v>65</v>
      </c>
      <c r="C91">
        <v>78.655570776255701</v>
      </c>
    </row>
    <row r="92" spans="1:3" x14ac:dyDescent="0.25">
      <c r="A92">
        <v>91</v>
      </c>
      <c r="B92">
        <v>78</v>
      </c>
      <c r="C92">
        <v>64.200998858447505</v>
      </c>
    </row>
    <row r="93" spans="1:3" x14ac:dyDescent="0.25">
      <c r="A93">
        <v>92</v>
      </c>
      <c r="B93">
        <v>95</v>
      </c>
      <c r="C93">
        <v>71.220135083713899</v>
      </c>
    </row>
    <row r="94" spans="1:3" x14ac:dyDescent="0.25">
      <c r="A94">
        <v>93</v>
      </c>
      <c r="B94">
        <v>69</v>
      </c>
      <c r="C94">
        <v>46.8372526636225</v>
      </c>
    </row>
    <row r="95" spans="1:3" x14ac:dyDescent="0.25">
      <c r="A95">
        <v>94</v>
      </c>
      <c r="B95">
        <v>67</v>
      </c>
      <c r="C95">
        <v>78.401118721461202</v>
      </c>
    </row>
    <row r="96" spans="1:3" x14ac:dyDescent="0.25">
      <c r="A96">
        <v>95</v>
      </c>
      <c r="B96">
        <v>56</v>
      </c>
      <c r="C96">
        <v>57.434233257229799</v>
      </c>
    </row>
    <row r="97" spans="1:3" x14ac:dyDescent="0.25">
      <c r="A97">
        <v>96</v>
      </c>
      <c r="B97">
        <v>63</v>
      </c>
      <c r="C97">
        <v>34.469735540334902</v>
      </c>
    </row>
    <row r="98" spans="1:3" x14ac:dyDescent="0.25">
      <c r="A98">
        <v>97</v>
      </c>
      <c r="B98">
        <v>94</v>
      </c>
      <c r="C98">
        <v>79.8519691780822</v>
      </c>
    </row>
    <row r="99" spans="1:3" x14ac:dyDescent="0.25">
      <c r="A99">
        <v>98</v>
      </c>
      <c r="B99">
        <v>87</v>
      </c>
      <c r="C99">
        <v>41.310957001522098</v>
      </c>
    </row>
    <row r="100" spans="1:3" x14ac:dyDescent="0.25">
      <c r="A100">
        <v>99</v>
      </c>
      <c r="B100">
        <v>35</v>
      </c>
      <c r="C100">
        <v>69.205858066971103</v>
      </c>
    </row>
    <row r="101" spans="1:3" x14ac:dyDescent="0.25">
      <c r="A101">
        <v>100</v>
      </c>
      <c r="B101">
        <v>100</v>
      </c>
      <c r="C101">
        <v>65.612047184170507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Comp 1</vt:lpstr>
      <vt:lpstr>Comp 2</vt:lpstr>
      <vt:lpstr>5x5</vt:lpstr>
      <vt:lpstr>20x2x2</vt:lpstr>
      <vt:lpstr>anova</vt:lpstr>
      <vt:lpstr>Level1</vt:lpstr>
      <vt:lpstr>Layout</vt:lpstr>
      <vt:lpstr>Raw</vt:lpstr>
      <vt:lpstr>10x3x2</vt:lpstr>
      <vt:lpstr>Quant</vt:lpstr>
      <vt:lpstr>Qual</vt:lpstr>
      <vt:lpstr>RefInt</vt:lpstr>
      <vt:lpstr>Level1!Print_Area</vt:lpstr>
      <vt:lpstr>Level1!Print_Titles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2015-06-05T18:17:20Z</dcterms:created>
  <dcterms:modified xsi:type="dcterms:W3CDTF">2026-01-31T04:58:40Z</dcterms:modified>
</cp:coreProperties>
</file>
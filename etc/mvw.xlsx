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c\Workspace\METools\method-eval-tools\etc\"/>
    </mc:Choice>
  </mc:AlternateContent>
  <xr:revisionPtr revIDLastSave="0" documentId="13_ncr:1_{C15035C3-A86E-40F0-8D6C-A4D8745A5656}" xr6:coauthVersionLast="47" xr6:coauthVersionMax="47" xr10:uidLastSave="{00000000-0000-0000-0000-000000000000}"/>
  <bookViews>
    <workbookView xWindow="2115" yWindow="3165" windowWidth="22740" windowHeight="17100" xr2:uid="{CC7F195D-2479-4079-8A92-CED3E10006DB}"/>
  </bookViews>
  <sheets>
    <sheet name="Template" sheetId="9" r:id="rId1"/>
    <sheet name="Example" sheetId="5" r:id="rId2"/>
    <sheet name="APS" sheetId="6" r:id="rId3"/>
    <sheet name="Tables" sheetId="4" r:id="rId4"/>
    <sheet name="Layout" sheetId="2" r:id="rId5"/>
  </sheets>
  <definedNames>
    <definedName name="ExternalData_1" localSheetId="2" hidden="1">APS!$A$1:$J$265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6" i="9" l="1"/>
  <c r="D512" i="9"/>
  <c r="G512" i="9" s="1"/>
  <c r="G513" i="9" s="1"/>
  <c r="G509" i="9"/>
  <c r="G508" i="9"/>
  <c r="F508" i="9"/>
  <c r="E508" i="9"/>
  <c r="G507" i="9"/>
  <c r="X500" i="9" s="1"/>
  <c r="L500" i="9" s="1"/>
  <c r="F507" i="9"/>
  <c r="W501" i="9" s="1"/>
  <c r="K501" i="9" s="1"/>
  <c r="E507" i="9"/>
  <c r="V501" i="9" s="1"/>
  <c r="J501" i="9" s="1"/>
  <c r="X506" i="9"/>
  <c r="L506" i="9" s="1"/>
  <c r="W506" i="9"/>
  <c r="K506" i="9" s="1"/>
  <c r="X504" i="9"/>
  <c r="L504" i="9" s="1"/>
  <c r="W504" i="9"/>
  <c r="K504" i="9" s="1"/>
  <c r="X503" i="9"/>
  <c r="L503" i="9"/>
  <c r="X502" i="9"/>
  <c r="L502" i="9" s="1"/>
  <c r="X501" i="9"/>
  <c r="L501" i="9"/>
  <c r="X499" i="9"/>
  <c r="L499" i="9" s="1"/>
  <c r="X498" i="9"/>
  <c r="L498" i="9"/>
  <c r="G487" i="9"/>
  <c r="E485" i="9"/>
  <c r="D483" i="9"/>
  <c r="G483" i="9" s="1"/>
  <c r="G484" i="9" s="1"/>
  <c r="G482" i="9"/>
  <c r="G481" i="9"/>
  <c r="F481" i="9"/>
  <c r="F482" i="9" s="1"/>
  <c r="E481" i="9"/>
  <c r="E482" i="9" s="1"/>
  <c r="D484" i="9" s="1"/>
  <c r="D485" i="9" s="1"/>
  <c r="X477" i="9"/>
  <c r="W477" i="9"/>
  <c r="V477" i="9"/>
  <c r="X476" i="9"/>
  <c r="W476" i="9"/>
  <c r="V476" i="9"/>
  <c r="X475" i="9"/>
  <c r="W475" i="9"/>
  <c r="V475" i="9"/>
  <c r="X474" i="9"/>
  <c r="W474" i="9"/>
  <c r="V474" i="9"/>
  <c r="X473" i="9"/>
  <c r="W473" i="9"/>
  <c r="V473" i="9"/>
  <c r="X472" i="9"/>
  <c r="W472" i="9"/>
  <c r="V472" i="9"/>
  <c r="X471" i="9"/>
  <c r="W471" i="9"/>
  <c r="V471" i="9"/>
  <c r="X470" i="9"/>
  <c r="W470" i="9"/>
  <c r="V470" i="9"/>
  <c r="X469" i="9"/>
  <c r="W469" i="9"/>
  <c r="V469" i="9"/>
  <c r="N461" i="9"/>
  <c r="G461" i="9"/>
  <c r="N460" i="9"/>
  <c r="E460" i="9"/>
  <c r="N459" i="9"/>
  <c r="D459" i="9"/>
  <c r="N458" i="9"/>
  <c r="D458" i="9"/>
  <c r="N457" i="9"/>
  <c r="D457" i="9"/>
  <c r="G457" i="9" s="1"/>
  <c r="G458" i="9" s="1"/>
  <c r="N456" i="9"/>
  <c r="N455" i="9"/>
  <c r="N454" i="9"/>
  <c r="X453" i="9"/>
  <c r="W453" i="9"/>
  <c r="V453" i="9"/>
  <c r="N453" i="9"/>
  <c r="X452" i="9"/>
  <c r="W452" i="9"/>
  <c r="V452" i="9"/>
  <c r="N452" i="9"/>
  <c r="X451" i="9"/>
  <c r="W451" i="9"/>
  <c r="V451" i="9"/>
  <c r="N451" i="9"/>
  <c r="X450" i="9"/>
  <c r="W450" i="9"/>
  <c r="V450" i="9"/>
  <c r="N450" i="9"/>
  <c r="X449" i="9"/>
  <c r="W449" i="9"/>
  <c r="V449" i="9"/>
  <c r="N449" i="9"/>
  <c r="X448" i="9"/>
  <c r="W448" i="9"/>
  <c r="V448" i="9"/>
  <c r="N448" i="9"/>
  <c r="X447" i="9"/>
  <c r="W447" i="9"/>
  <c r="V447" i="9"/>
  <c r="N447" i="9"/>
  <c r="X446" i="9"/>
  <c r="W446" i="9"/>
  <c r="V446" i="9"/>
  <c r="N446" i="9"/>
  <c r="X445" i="9"/>
  <c r="W445" i="9"/>
  <c r="V445" i="9"/>
  <c r="J423" i="9"/>
  <c r="E423" i="9"/>
  <c r="J422" i="9"/>
  <c r="E422" i="9"/>
  <c r="J421" i="9"/>
  <c r="E421" i="9"/>
  <c r="J420" i="9"/>
  <c r="E420" i="9"/>
  <c r="J419" i="9"/>
  <c r="E419" i="9"/>
  <c r="J418" i="9"/>
  <c r="E418" i="9"/>
  <c r="J417" i="9"/>
  <c r="E417" i="9"/>
  <c r="J416" i="9"/>
  <c r="E416" i="9"/>
  <c r="J415" i="9"/>
  <c r="E415" i="9"/>
  <c r="J414" i="9"/>
  <c r="E414" i="9"/>
  <c r="J413" i="9"/>
  <c r="E413" i="9"/>
  <c r="J412" i="9"/>
  <c r="E412" i="9"/>
  <c r="J411" i="9"/>
  <c r="E411" i="9"/>
  <c r="J410" i="9"/>
  <c r="E410" i="9"/>
  <c r="J409" i="9"/>
  <c r="E409" i="9"/>
  <c r="J408" i="9"/>
  <c r="E408" i="9"/>
  <c r="J407" i="9"/>
  <c r="E407" i="9"/>
  <c r="J406" i="9"/>
  <c r="E406" i="9"/>
  <c r="J405" i="9"/>
  <c r="E405" i="9"/>
  <c r="J404" i="9"/>
  <c r="E404" i="9"/>
  <c r="J403" i="9"/>
  <c r="E403" i="9"/>
  <c r="J402" i="9"/>
  <c r="E402" i="9"/>
  <c r="J401" i="9"/>
  <c r="E401" i="9"/>
  <c r="J400" i="9"/>
  <c r="E400" i="9"/>
  <c r="J399" i="9"/>
  <c r="E399" i="9"/>
  <c r="J398" i="9"/>
  <c r="E398" i="9"/>
  <c r="J397" i="9"/>
  <c r="E397" i="9"/>
  <c r="J396" i="9"/>
  <c r="E396" i="9"/>
  <c r="J395" i="9"/>
  <c r="E395" i="9"/>
  <c r="J394" i="9"/>
  <c r="E394" i="9"/>
  <c r="J393" i="9"/>
  <c r="E393" i="9"/>
  <c r="J392" i="9"/>
  <c r="E392" i="9"/>
  <c r="J391" i="9"/>
  <c r="E391" i="9"/>
  <c r="J390" i="9"/>
  <c r="E390" i="9"/>
  <c r="J389" i="9"/>
  <c r="E389" i="9"/>
  <c r="J388" i="9"/>
  <c r="E388" i="9"/>
  <c r="J387" i="9"/>
  <c r="E387" i="9"/>
  <c r="J386" i="9"/>
  <c r="E386" i="9"/>
  <c r="J385" i="9"/>
  <c r="E385" i="9"/>
  <c r="J384" i="9"/>
  <c r="E384" i="9"/>
  <c r="D356" i="9"/>
  <c r="D355" i="9"/>
  <c r="G348" i="9"/>
  <c r="F348" i="9"/>
  <c r="E348" i="9"/>
  <c r="D348" i="9"/>
  <c r="G337" i="9"/>
  <c r="F337" i="9"/>
  <c r="E337" i="9"/>
  <c r="G333" i="9"/>
  <c r="F333" i="9"/>
  <c r="E333" i="9"/>
  <c r="D333" i="9"/>
  <c r="E332" i="9"/>
  <c r="D332" i="9"/>
  <c r="G331" i="9"/>
  <c r="F331" i="9"/>
  <c r="E331" i="9"/>
  <c r="D331" i="9"/>
  <c r="G329" i="9"/>
  <c r="F329" i="9"/>
  <c r="E329" i="9"/>
  <c r="D329" i="9"/>
  <c r="G328" i="9"/>
  <c r="F328" i="9"/>
  <c r="F332" i="9" s="1"/>
  <c r="E328" i="9"/>
  <c r="E338" i="9" s="1"/>
  <c r="D328" i="9"/>
  <c r="D338" i="9" s="1"/>
  <c r="G327" i="9"/>
  <c r="F327" i="9"/>
  <c r="E327" i="9"/>
  <c r="D327" i="9"/>
  <c r="D337" i="9" s="1"/>
  <c r="Y259" i="9"/>
  <c r="X259" i="9"/>
  <c r="W259" i="9"/>
  <c r="T259" i="9"/>
  <c r="S259" i="9"/>
  <c r="G259" i="9"/>
  <c r="I259" i="9" s="1"/>
  <c r="A259" i="9"/>
  <c r="Y258" i="9"/>
  <c r="X258" i="9"/>
  <c r="W258" i="9"/>
  <c r="T258" i="9"/>
  <c r="S258" i="9"/>
  <c r="V258" i="9" s="1"/>
  <c r="G258" i="9"/>
  <c r="A258" i="9" s="1"/>
  <c r="Y257" i="9"/>
  <c r="X257" i="9"/>
  <c r="W257" i="9"/>
  <c r="T257" i="9"/>
  <c r="U257" i="9" s="1"/>
  <c r="S257" i="9"/>
  <c r="I257" i="9"/>
  <c r="H257" i="9"/>
  <c r="G257" i="9"/>
  <c r="A257" i="9"/>
  <c r="Y256" i="9"/>
  <c r="X256" i="9"/>
  <c r="W256" i="9"/>
  <c r="V256" i="9"/>
  <c r="U256" i="9"/>
  <c r="T256" i="9"/>
  <c r="S256" i="9"/>
  <c r="G256" i="9"/>
  <c r="I256" i="9" s="1"/>
  <c r="A256" i="9"/>
  <c r="Y255" i="9"/>
  <c r="X255" i="9"/>
  <c r="W255" i="9"/>
  <c r="T255" i="9"/>
  <c r="S255" i="9"/>
  <c r="G255" i="9"/>
  <c r="I255" i="9" s="1"/>
  <c r="A255" i="9"/>
  <c r="Y254" i="9"/>
  <c r="X254" i="9"/>
  <c r="W254" i="9"/>
  <c r="V254" i="9"/>
  <c r="U254" i="9"/>
  <c r="T254" i="9"/>
  <c r="S254" i="9"/>
  <c r="I254" i="9"/>
  <c r="G254" i="9"/>
  <c r="H254" i="9" s="1"/>
  <c r="A254" i="9"/>
  <c r="Y253" i="9"/>
  <c r="X253" i="9"/>
  <c r="W253" i="9"/>
  <c r="T253" i="9"/>
  <c r="V253" i="9" s="1"/>
  <c r="S253" i="9"/>
  <c r="I253" i="9"/>
  <c r="G253" i="9"/>
  <c r="A253" i="9" s="1"/>
  <c r="Y252" i="9"/>
  <c r="X252" i="9"/>
  <c r="W252" i="9"/>
  <c r="V252" i="9"/>
  <c r="U252" i="9"/>
  <c r="T252" i="9"/>
  <c r="S252" i="9"/>
  <c r="G252" i="9"/>
  <c r="I252" i="9" s="1"/>
  <c r="A252" i="9"/>
  <c r="H226" i="9"/>
  <c r="H225" i="9"/>
  <c r="H224" i="9"/>
  <c r="Z220" i="9"/>
  <c r="W220" i="9" s="1"/>
  <c r="V220" i="9"/>
  <c r="U220" i="9"/>
  <c r="S220" i="9"/>
  <c r="G220" i="9"/>
  <c r="H220" i="9" s="1"/>
  <c r="Z219" i="9"/>
  <c r="X219" i="9"/>
  <c r="W219" i="9"/>
  <c r="S219" i="9"/>
  <c r="G219" i="9"/>
  <c r="V219" i="9" s="1"/>
  <c r="Z218" i="9"/>
  <c r="X218" i="9"/>
  <c r="W218" i="9"/>
  <c r="S218" i="9"/>
  <c r="G218" i="9"/>
  <c r="Z217" i="9"/>
  <c r="X217" i="9"/>
  <c r="W217" i="9"/>
  <c r="V217" i="9"/>
  <c r="U217" i="9"/>
  <c r="S217" i="9"/>
  <c r="T217" i="9" s="1"/>
  <c r="G217" i="9"/>
  <c r="Z216" i="9"/>
  <c r="X216" i="9" s="1"/>
  <c r="V216" i="9"/>
  <c r="S216" i="9"/>
  <c r="G216" i="9"/>
  <c r="U216" i="9" s="1"/>
  <c r="Z215" i="9"/>
  <c r="X215" i="9"/>
  <c r="W215" i="9"/>
  <c r="V215" i="9"/>
  <c r="U215" i="9"/>
  <c r="S215" i="9"/>
  <c r="G215" i="9"/>
  <c r="Z214" i="9"/>
  <c r="W214" i="9" s="1"/>
  <c r="X214" i="9"/>
  <c r="U214" i="9"/>
  <c r="S214" i="9"/>
  <c r="G214" i="9"/>
  <c r="V214" i="9" s="1"/>
  <c r="Z213" i="9"/>
  <c r="X213" i="9"/>
  <c r="W213" i="9"/>
  <c r="S213" i="9"/>
  <c r="G213" i="9"/>
  <c r="H213" i="9" s="1"/>
  <c r="E186" i="9"/>
  <c r="T160" i="9"/>
  <c r="S160" i="9"/>
  <c r="R160" i="9"/>
  <c r="Q160" i="9"/>
  <c r="P160" i="9"/>
  <c r="O160" i="9"/>
  <c r="J160" i="9"/>
  <c r="T159" i="9"/>
  <c r="S159" i="9"/>
  <c r="J159" i="9"/>
  <c r="T158" i="9"/>
  <c r="S158" i="9"/>
  <c r="R158" i="9"/>
  <c r="Q158" i="9"/>
  <c r="P158" i="9"/>
  <c r="J158" i="9"/>
  <c r="O158" i="9" s="1"/>
  <c r="J157" i="9"/>
  <c r="T156" i="9"/>
  <c r="S156" i="9"/>
  <c r="R156" i="9"/>
  <c r="J156" i="9"/>
  <c r="Q156" i="9" s="1"/>
  <c r="T155" i="9"/>
  <c r="S155" i="9"/>
  <c r="R155" i="9"/>
  <c r="P155" i="9"/>
  <c r="O155" i="9"/>
  <c r="J155" i="9"/>
  <c r="Q155" i="9" s="1"/>
  <c r="J154" i="9"/>
  <c r="T154" i="9" s="1"/>
  <c r="J153" i="9"/>
  <c r="Q153" i="9" s="1"/>
  <c r="T152" i="9"/>
  <c r="Q152" i="9"/>
  <c r="P152" i="9"/>
  <c r="J152" i="9"/>
  <c r="J151" i="9"/>
  <c r="P151" i="9" s="1"/>
  <c r="J150" i="9"/>
  <c r="O150" i="9" s="1"/>
  <c r="T149" i="9"/>
  <c r="S149" i="9"/>
  <c r="R149" i="9"/>
  <c r="Q149" i="9"/>
  <c r="P149" i="9"/>
  <c r="O149" i="9"/>
  <c r="J149" i="9"/>
  <c r="T148" i="9"/>
  <c r="S148" i="9"/>
  <c r="Q148" i="9"/>
  <c r="P148" i="9"/>
  <c r="J148" i="9"/>
  <c r="R148" i="9" s="1"/>
  <c r="P147" i="9"/>
  <c r="O147" i="9"/>
  <c r="J147" i="9"/>
  <c r="T147" i="9" s="1"/>
  <c r="T146" i="9"/>
  <c r="J146" i="9"/>
  <c r="R145" i="9"/>
  <c r="Q145" i="9"/>
  <c r="P145" i="9"/>
  <c r="O145" i="9"/>
  <c r="J145" i="9"/>
  <c r="T144" i="9"/>
  <c r="S144" i="9"/>
  <c r="R144" i="9"/>
  <c r="Q144" i="9"/>
  <c r="P144" i="9"/>
  <c r="O144" i="9"/>
  <c r="J144" i="9"/>
  <c r="J143" i="9"/>
  <c r="O143" i="9" s="1"/>
  <c r="T142" i="9"/>
  <c r="S142" i="9"/>
  <c r="R142" i="9"/>
  <c r="J142" i="9"/>
  <c r="O142" i="9" s="1"/>
  <c r="R141" i="9"/>
  <c r="Q141" i="9"/>
  <c r="J141" i="9"/>
  <c r="T141" i="9" s="1"/>
  <c r="J140" i="9"/>
  <c r="T140" i="9" s="1"/>
  <c r="T139" i="9"/>
  <c r="S139" i="9"/>
  <c r="R139" i="9"/>
  <c r="P139" i="9"/>
  <c r="O139" i="9"/>
  <c r="J139" i="9"/>
  <c r="Q139" i="9" s="1"/>
  <c r="S138" i="9"/>
  <c r="R138" i="9"/>
  <c r="Q138" i="9"/>
  <c r="P138" i="9"/>
  <c r="J138" i="9"/>
  <c r="T138" i="9" s="1"/>
  <c r="J137" i="9"/>
  <c r="S137" i="9" s="1"/>
  <c r="T136" i="9"/>
  <c r="J136" i="9"/>
  <c r="T135" i="9"/>
  <c r="S135" i="9"/>
  <c r="R135" i="9"/>
  <c r="Q135" i="9"/>
  <c r="J135" i="9"/>
  <c r="P135" i="9" s="1"/>
  <c r="J134" i="9"/>
  <c r="S134" i="9" s="1"/>
  <c r="T133" i="9"/>
  <c r="S133" i="9"/>
  <c r="R133" i="9"/>
  <c r="Q133" i="9"/>
  <c r="P133" i="9"/>
  <c r="O133" i="9"/>
  <c r="J133" i="9"/>
  <c r="T132" i="9"/>
  <c r="S132" i="9"/>
  <c r="Q132" i="9"/>
  <c r="P132" i="9"/>
  <c r="J132" i="9"/>
  <c r="R132" i="9" s="1"/>
  <c r="S131" i="9"/>
  <c r="R131" i="9"/>
  <c r="Q131" i="9"/>
  <c r="P131" i="9"/>
  <c r="O131" i="9"/>
  <c r="J131" i="9"/>
  <c r="T131" i="9" s="1"/>
  <c r="J130" i="9"/>
  <c r="T130" i="9" s="1"/>
  <c r="R129" i="9"/>
  <c r="Q129" i="9"/>
  <c r="J129" i="9"/>
  <c r="T128" i="9"/>
  <c r="S128" i="9"/>
  <c r="R128" i="9"/>
  <c r="Q128" i="9"/>
  <c r="P128" i="9"/>
  <c r="O128" i="9"/>
  <c r="J128" i="9"/>
  <c r="P127" i="9"/>
  <c r="O127" i="9"/>
  <c r="J127" i="9"/>
  <c r="S127" i="9" s="1"/>
  <c r="J126" i="9"/>
  <c r="O126" i="9" s="1"/>
  <c r="T125" i="9"/>
  <c r="R125" i="9"/>
  <c r="Q125" i="9"/>
  <c r="J125" i="9"/>
  <c r="R124" i="9"/>
  <c r="Q124" i="9"/>
  <c r="P124" i="9"/>
  <c r="O124" i="9"/>
  <c r="J124" i="9"/>
  <c r="T124" i="9" s="1"/>
  <c r="T123" i="9"/>
  <c r="S123" i="9"/>
  <c r="R123" i="9"/>
  <c r="P123" i="9"/>
  <c r="O123" i="9"/>
  <c r="J123" i="9"/>
  <c r="Q123" i="9" s="1"/>
  <c r="S122" i="9"/>
  <c r="R122" i="9"/>
  <c r="J122" i="9"/>
  <c r="T122" i="9" s="1"/>
  <c r="T121" i="9"/>
  <c r="S121" i="9"/>
  <c r="Q121" i="9"/>
  <c r="P121" i="9"/>
  <c r="J121" i="9"/>
  <c r="J120" i="9"/>
  <c r="P120" i="9" s="1"/>
  <c r="T119" i="9"/>
  <c r="S119" i="9"/>
  <c r="J119" i="9"/>
  <c r="P119" i="9" s="1"/>
  <c r="S118" i="9"/>
  <c r="R118" i="9"/>
  <c r="O118" i="9"/>
  <c r="J118" i="9"/>
  <c r="T117" i="9"/>
  <c r="S117" i="9"/>
  <c r="R117" i="9"/>
  <c r="Q117" i="9"/>
  <c r="P117" i="9"/>
  <c r="O117" i="9"/>
  <c r="J117" i="9"/>
  <c r="T116" i="9"/>
  <c r="S116" i="9"/>
  <c r="Q116" i="9"/>
  <c r="P116" i="9"/>
  <c r="J116" i="9"/>
  <c r="R116" i="9" s="1"/>
  <c r="T115" i="9"/>
  <c r="S115" i="9"/>
  <c r="R115" i="9"/>
  <c r="Q115" i="9"/>
  <c r="J115" i="9"/>
  <c r="P115" i="9" s="1"/>
  <c r="J114" i="9"/>
  <c r="R114" i="9" s="1"/>
  <c r="J113" i="9"/>
  <c r="Q113" i="9" s="1"/>
  <c r="T112" i="9"/>
  <c r="S112" i="9"/>
  <c r="R112" i="9"/>
  <c r="Q112" i="9"/>
  <c r="P112" i="9"/>
  <c r="O112" i="9"/>
  <c r="J112" i="9"/>
  <c r="T111" i="9"/>
  <c r="S111" i="9"/>
  <c r="P111" i="9"/>
  <c r="O111" i="9"/>
  <c r="J111" i="9"/>
  <c r="Q110" i="9"/>
  <c r="P110" i="9"/>
  <c r="J110" i="9"/>
  <c r="O110" i="9" s="1"/>
  <c r="T109" i="9"/>
  <c r="J109" i="9"/>
  <c r="T108" i="9"/>
  <c r="S108" i="9"/>
  <c r="R108" i="9"/>
  <c r="Q108" i="9"/>
  <c r="P108" i="9"/>
  <c r="J108" i="9"/>
  <c r="O108" i="9" s="1"/>
  <c r="T107" i="9"/>
  <c r="S107" i="9"/>
  <c r="R107" i="9"/>
  <c r="P107" i="9"/>
  <c r="O107" i="9"/>
  <c r="J107" i="9"/>
  <c r="Q107" i="9" s="1"/>
  <c r="J106" i="9"/>
  <c r="T106" i="9" s="1"/>
  <c r="T105" i="9"/>
  <c r="S105" i="9"/>
  <c r="J105" i="9"/>
  <c r="T104" i="9"/>
  <c r="Q104" i="9"/>
  <c r="P104" i="9"/>
  <c r="O104" i="9"/>
  <c r="J104" i="9"/>
  <c r="J103" i="9"/>
  <c r="P103" i="9" s="1"/>
  <c r="S102" i="9"/>
  <c r="R102" i="9"/>
  <c r="J102" i="9"/>
  <c r="T101" i="9"/>
  <c r="S101" i="9"/>
  <c r="R101" i="9"/>
  <c r="Q101" i="9"/>
  <c r="P101" i="9"/>
  <c r="O101" i="9"/>
  <c r="J101" i="9"/>
  <c r="S100" i="9"/>
  <c r="R100" i="9"/>
  <c r="P100" i="9"/>
  <c r="O100" i="9"/>
  <c r="S99" i="9"/>
  <c r="R99" i="9"/>
  <c r="P99" i="9"/>
  <c r="O99" i="9"/>
  <c r="Q99" i="9" s="1"/>
  <c r="S98" i="9"/>
  <c r="T98" i="9" s="1"/>
  <c r="R98" i="9"/>
  <c r="P98" i="9"/>
  <c r="O98" i="9"/>
  <c r="S97" i="9"/>
  <c r="R97" i="9"/>
  <c r="T97" i="9" s="1"/>
  <c r="P97" i="9"/>
  <c r="O97" i="9"/>
  <c r="Q97" i="9" s="1"/>
  <c r="S96" i="9"/>
  <c r="R96" i="9"/>
  <c r="T96" i="9" s="1"/>
  <c r="P96" i="9"/>
  <c r="O96" i="9"/>
  <c r="Q96" i="9" s="1"/>
  <c r="S95" i="9"/>
  <c r="R95" i="9"/>
  <c r="T95" i="9" s="1"/>
  <c r="P95" i="9"/>
  <c r="O95" i="9"/>
  <c r="Q95" i="9" s="1"/>
  <c r="T94" i="9"/>
  <c r="S94" i="9"/>
  <c r="R94" i="9"/>
  <c r="P94" i="9"/>
  <c r="O94" i="9"/>
  <c r="Q94" i="9" s="1"/>
  <c r="S93" i="9"/>
  <c r="R93" i="9"/>
  <c r="T93" i="9" s="1"/>
  <c r="P93" i="9"/>
  <c r="O93" i="9"/>
  <c r="S92" i="9"/>
  <c r="R92" i="9"/>
  <c r="T92" i="9" s="1"/>
  <c r="P92" i="9"/>
  <c r="O92" i="9"/>
  <c r="S91" i="9"/>
  <c r="R91" i="9"/>
  <c r="P91" i="9"/>
  <c r="O91" i="9"/>
  <c r="Q91" i="9" s="1"/>
  <c r="S90" i="9"/>
  <c r="R90" i="9"/>
  <c r="T90" i="9" s="1"/>
  <c r="P90" i="9"/>
  <c r="O90" i="9"/>
  <c r="Q90" i="9" s="1"/>
  <c r="S89" i="9"/>
  <c r="R89" i="9"/>
  <c r="P89" i="9"/>
  <c r="O89" i="9"/>
  <c r="Q89" i="9" s="1"/>
  <c r="S88" i="9"/>
  <c r="R88" i="9"/>
  <c r="T88" i="9" s="1"/>
  <c r="P88" i="9"/>
  <c r="O88" i="9"/>
  <c r="Q88" i="9" s="1"/>
  <c r="T87" i="9"/>
  <c r="S87" i="9"/>
  <c r="R87" i="9"/>
  <c r="P87" i="9"/>
  <c r="O87" i="9"/>
  <c r="Q87" i="9" s="1"/>
  <c r="S86" i="9"/>
  <c r="R86" i="9"/>
  <c r="T86" i="9" s="1"/>
  <c r="P86" i="9"/>
  <c r="O86" i="9"/>
  <c r="Q86" i="9" s="1"/>
  <c r="S85" i="9"/>
  <c r="R85" i="9"/>
  <c r="T85" i="9" s="1"/>
  <c r="P85" i="9"/>
  <c r="O85" i="9"/>
  <c r="S84" i="9"/>
  <c r="R84" i="9"/>
  <c r="P84" i="9"/>
  <c r="Q84" i="9" s="1"/>
  <c r="O84" i="9"/>
  <c r="S83" i="9"/>
  <c r="R83" i="9"/>
  <c r="P83" i="9"/>
  <c r="O83" i="9"/>
  <c r="Q83" i="9" s="1"/>
  <c r="S82" i="9"/>
  <c r="R82" i="9"/>
  <c r="T82" i="9" s="1"/>
  <c r="P82" i="9"/>
  <c r="O82" i="9"/>
  <c r="S81" i="9"/>
  <c r="R81" i="9"/>
  <c r="T81" i="9" s="1"/>
  <c r="P81" i="9"/>
  <c r="O81" i="9"/>
  <c r="Q81" i="9" s="1"/>
  <c r="S80" i="9"/>
  <c r="R80" i="9"/>
  <c r="T80" i="9" s="1"/>
  <c r="P80" i="9"/>
  <c r="O80" i="9"/>
  <c r="S79" i="9"/>
  <c r="R79" i="9"/>
  <c r="T79" i="9" s="1"/>
  <c r="P79" i="9"/>
  <c r="O79" i="9"/>
  <c r="Q79" i="9" s="1"/>
  <c r="S78" i="9"/>
  <c r="R78" i="9"/>
  <c r="T78" i="9" s="1"/>
  <c r="P78" i="9"/>
  <c r="O78" i="9"/>
  <c r="S77" i="9"/>
  <c r="R77" i="9"/>
  <c r="T77" i="9" s="1"/>
  <c r="P77" i="9"/>
  <c r="O77" i="9"/>
  <c r="S76" i="9"/>
  <c r="T76" i="9" s="1"/>
  <c r="R76" i="9"/>
  <c r="P76" i="9"/>
  <c r="O76" i="9"/>
  <c r="S75" i="9"/>
  <c r="R75" i="9"/>
  <c r="T75" i="9" s="1"/>
  <c r="P75" i="9"/>
  <c r="O75" i="9"/>
  <c r="Q75" i="9" s="1"/>
  <c r="S74" i="9"/>
  <c r="R74" i="9"/>
  <c r="T74" i="9" s="1"/>
  <c r="P74" i="9"/>
  <c r="O74" i="9"/>
  <c r="Q74" i="9" s="1"/>
  <c r="S73" i="9"/>
  <c r="R73" i="9"/>
  <c r="T73" i="9" s="1"/>
  <c r="P73" i="9"/>
  <c r="O73" i="9"/>
  <c r="S72" i="9"/>
  <c r="R72" i="9"/>
  <c r="T72" i="9" s="1"/>
  <c r="P72" i="9"/>
  <c r="O72" i="9"/>
  <c r="Q72" i="9" s="1"/>
  <c r="S71" i="9"/>
  <c r="R71" i="9"/>
  <c r="T71" i="9" s="1"/>
  <c r="P71" i="9"/>
  <c r="O71" i="9"/>
  <c r="Q71" i="9" s="1"/>
  <c r="S70" i="9"/>
  <c r="R70" i="9"/>
  <c r="T70" i="9" s="1"/>
  <c r="P70" i="9"/>
  <c r="O70" i="9"/>
  <c r="Q70" i="9" s="1"/>
  <c r="S69" i="9"/>
  <c r="T69" i="9" s="1"/>
  <c r="R69" i="9"/>
  <c r="P69" i="9"/>
  <c r="O69" i="9"/>
  <c r="Q69" i="9" s="1"/>
  <c r="S68" i="9"/>
  <c r="R68" i="9"/>
  <c r="P68" i="9"/>
  <c r="O68" i="9"/>
  <c r="S67" i="9"/>
  <c r="R67" i="9"/>
  <c r="T67" i="9" s="1"/>
  <c r="P67" i="9"/>
  <c r="O67" i="9"/>
  <c r="Q67" i="9" s="1"/>
  <c r="S66" i="9"/>
  <c r="R66" i="9"/>
  <c r="T66" i="9" s="1"/>
  <c r="P66" i="9"/>
  <c r="O66" i="9"/>
  <c r="S65" i="9"/>
  <c r="R65" i="9"/>
  <c r="T65" i="9" s="1"/>
  <c r="P65" i="9"/>
  <c r="O65" i="9"/>
  <c r="Q65" i="9" s="1"/>
  <c r="S64" i="9"/>
  <c r="R64" i="9"/>
  <c r="T64" i="9" s="1"/>
  <c r="P64" i="9"/>
  <c r="O64" i="9"/>
  <c r="Q64" i="9" s="1"/>
  <c r="S63" i="9"/>
  <c r="R63" i="9"/>
  <c r="T63" i="9" s="1"/>
  <c r="P63" i="9"/>
  <c r="O63" i="9"/>
  <c r="Q63" i="9" s="1"/>
  <c r="S62" i="9"/>
  <c r="R62" i="9"/>
  <c r="P62" i="9"/>
  <c r="O62" i="9"/>
  <c r="S61" i="9"/>
  <c r="R61" i="9"/>
  <c r="T61" i="9" s="1"/>
  <c r="P61" i="9"/>
  <c r="O61" i="9"/>
  <c r="G60" i="9"/>
  <c r="C53" i="9"/>
  <c r="E52" i="9"/>
  <c r="E51" i="9"/>
  <c r="E50" i="9"/>
  <c r="E49" i="9"/>
  <c r="J8" i="9"/>
  <c r="J6" i="9"/>
  <c r="J4" i="9"/>
  <c r="G4" i="9"/>
  <c r="E467" i="9" s="1"/>
  <c r="J6" i="5"/>
  <c r="J4" i="5"/>
  <c r="D356" i="5"/>
  <c r="D355" i="5"/>
  <c r="G4" i="5"/>
  <c r="B1" i="4" a="1"/>
  <c r="J8" i="5"/>
  <c r="F349" i="9" l="1"/>
  <c r="T84" i="9"/>
  <c r="Q92" i="9"/>
  <c r="Q78" i="9"/>
  <c r="Q100" i="9"/>
  <c r="Q93" i="9"/>
  <c r="T100" i="9"/>
  <c r="Q68" i="9"/>
  <c r="Q61" i="9"/>
  <c r="T68" i="9"/>
  <c r="Q76" i="9"/>
  <c r="Q62" i="9"/>
  <c r="Q80" i="9"/>
  <c r="Q77" i="9"/>
  <c r="Q85" i="9"/>
  <c r="T62" i="9"/>
  <c r="Q66" i="9"/>
  <c r="Q73" i="9"/>
  <c r="T91" i="9"/>
  <c r="H215" i="9"/>
  <c r="T219" i="9"/>
  <c r="H219" i="9"/>
  <c r="T214" i="9"/>
  <c r="E342" i="9"/>
  <c r="D428" i="9"/>
  <c r="D460" i="9"/>
  <c r="U454" i="9"/>
  <c r="U455" i="9" s="1"/>
  <c r="U478" i="9"/>
  <c r="W499" i="9"/>
  <c r="K499" i="9" s="1"/>
  <c r="F509" i="9"/>
  <c r="E350" i="9"/>
  <c r="E351" i="9" s="1"/>
  <c r="U479" i="9"/>
  <c r="D486" i="9"/>
  <c r="O130" i="9"/>
  <c r="R110" i="9"/>
  <c r="S136" i="9"/>
  <c r="R136" i="9"/>
  <c r="P153" i="9"/>
  <c r="R105" i="9"/>
  <c r="O105" i="9"/>
  <c r="S110" i="9"/>
  <c r="P113" i="9"/>
  <c r="O119" i="9"/>
  <c r="O122" i="9"/>
  <c r="S124" i="9"/>
  <c r="T127" i="9"/>
  <c r="R130" i="9"/>
  <c r="O136" i="9"/>
  <c r="R147" i="9"/>
  <c r="O156" i="9"/>
  <c r="R159" i="9"/>
  <c r="Q159" i="9"/>
  <c r="U219" i="9"/>
  <c r="G342" i="9"/>
  <c r="G349" i="9"/>
  <c r="G350" i="9" s="1"/>
  <c r="G351" i="9" s="1"/>
  <c r="W500" i="9"/>
  <c r="K500" i="9" s="1"/>
  <c r="W498" i="9"/>
  <c r="K498" i="9" s="1"/>
  <c r="W505" i="9"/>
  <c r="K505" i="9" s="1"/>
  <c r="W503" i="9"/>
  <c r="K503" i="9" s="1"/>
  <c r="D349" i="9"/>
  <c r="D350" i="9" s="1"/>
  <c r="D351" i="9" s="1"/>
  <c r="R153" i="9"/>
  <c r="O153" i="9"/>
  <c r="U253" i="9"/>
  <c r="Q147" i="9"/>
  <c r="T150" i="9"/>
  <c r="Q150" i="9"/>
  <c r="P150" i="9"/>
  <c r="H255" i="9"/>
  <c r="V502" i="9"/>
  <c r="J502" i="9" s="1"/>
  <c r="V500" i="9"/>
  <c r="J500" i="9" s="1"/>
  <c r="V498" i="9"/>
  <c r="J498" i="9" s="1"/>
  <c r="V505" i="9"/>
  <c r="J505" i="9" s="1"/>
  <c r="V503" i="9"/>
  <c r="J503" i="9" s="1"/>
  <c r="T102" i="9"/>
  <c r="Q102" i="9"/>
  <c r="P102" i="9"/>
  <c r="P105" i="9"/>
  <c r="T110" i="9"/>
  <c r="Q119" i="9"/>
  <c r="P122" i="9"/>
  <c r="P136" i="9"/>
  <c r="P142" i="9"/>
  <c r="S147" i="9"/>
  <c r="R150" i="9"/>
  <c r="S153" i="9"/>
  <c r="P156" i="9"/>
  <c r="O159" i="9"/>
  <c r="V255" i="9"/>
  <c r="U255" i="9"/>
  <c r="F350" i="9"/>
  <c r="F351" i="9" s="1"/>
  <c r="S130" i="9"/>
  <c r="P130" i="9"/>
  <c r="D342" i="9"/>
  <c r="T113" i="9"/>
  <c r="S113" i="9"/>
  <c r="H217" i="9"/>
  <c r="U258" i="9"/>
  <c r="E349" i="9"/>
  <c r="O113" i="9"/>
  <c r="Q130" i="9"/>
  <c r="Q82" i="9"/>
  <c r="T99" i="9"/>
  <c r="O102" i="9"/>
  <c r="Q105" i="9"/>
  <c r="R111" i="9"/>
  <c r="Q111" i="9"/>
  <c r="R113" i="9"/>
  <c r="R119" i="9"/>
  <c r="Q122" i="9"/>
  <c r="S125" i="9"/>
  <c r="P125" i="9"/>
  <c r="O125" i="9"/>
  <c r="Q136" i="9"/>
  <c r="Q142" i="9"/>
  <c r="T145" i="9"/>
  <c r="S145" i="9"/>
  <c r="S150" i="9"/>
  <c r="T153" i="9"/>
  <c r="P159" i="9"/>
  <c r="V213" i="9"/>
  <c r="U213" i="9"/>
  <c r="T215" i="9"/>
  <c r="E492" i="9"/>
  <c r="V504" i="9"/>
  <c r="J504" i="9" s="1"/>
  <c r="E509" i="9"/>
  <c r="D513" i="9" s="1"/>
  <c r="Q114" i="9"/>
  <c r="P137" i="9"/>
  <c r="Q151" i="9"/>
  <c r="O106" i="9"/>
  <c r="O134" i="9"/>
  <c r="Q137" i="9"/>
  <c r="O140" i="9"/>
  <c r="R151" i="9"/>
  <c r="Q154" i="9"/>
  <c r="V218" i="9"/>
  <c r="U218" i="9"/>
  <c r="H218" i="9"/>
  <c r="T114" i="9"/>
  <c r="R154" i="9"/>
  <c r="T220" i="9"/>
  <c r="H256" i="9"/>
  <c r="V257" i="9"/>
  <c r="F338" i="9"/>
  <c r="F343" i="9" s="1"/>
  <c r="D427" i="9"/>
  <c r="D429" i="9" s="1"/>
  <c r="D426" i="9" s="1"/>
  <c r="E441" i="9"/>
  <c r="G332" i="9"/>
  <c r="G338" i="9"/>
  <c r="G343" i="9" s="1"/>
  <c r="H259" i="9"/>
  <c r="O103" i="9"/>
  <c r="O120" i="9"/>
  <c r="R143" i="9"/>
  <c r="Q143" i="9"/>
  <c r="S157" i="9"/>
  <c r="P157" i="9"/>
  <c r="O157" i="9"/>
  <c r="I428" i="9"/>
  <c r="I427" i="9"/>
  <c r="I429" i="9" s="1"/>
  <c r="I426" i="9" s="1"/>
  <c r="Q103" i="9"/>
  <c r="P106" i="9"/>
  <c r="P126" i="9"/>
  <c r="R134" i="9"/>
  <c r="P140" i="9"/>
  <c r="S146" i="9"/>
  <c r="P146" i="9"/>
  <c r="S151" i="9"/>
  <c r="Q157" i="9"/>
  <c r="W502" i="9"/>
  <c r="K502" i="9" s="1"/>
  <c r="S114" i="9"/>
  <c r="P114" i="9"/>
  <c r="S120" i="9"/>
  <c r="R120" i="9"/>
  <c r="S103" i="9"/>
  <c r="T157" i="9"/>
  <c r="R137" i="9"/>
  <c r="O137" i="9"/>
  <c r="O154" i="9"/>
  <c r="T213" i="9"/>
  <c r="R103" i="9"/>
  <c r="Q106" i="9"/>
  <c r="S109" i="9"/>
  <c r="P109" i="9"/>
  <c r="O109" i="9"/>
  <c r="Q120" i="9"/>
  <c r="Q126" i="9"/>
  <c r="T129" i="9"/>
  <c r="S129" i="9"/>
  <c r="T137" i="9"/>
  <c r="Q140" i="9"/>
  <c r="P143" i="9"/>
  <c r="O146" i="9"/>
  <c r="T151" i="9"/>
  <c r="S154" i="9"/>
  <c r="R157" i="9"/>
  <c r="T218" i="9"/>
  <c r="V259" i="9"/>
  <c r="R106" i="9"/>
  <c r="Q109" i="9"/>
  <c r="O115" i="9"/>
  <c r="T120" i="9"/>
  <c r="R126" i="9"/>
  <c r="O129" i="9"/>
  <c r="R140" i="9"/>
  <c r="S143" i="9"/>
  <c r="Q146" i="9"/>
  <c r="S152" i="9"/>
  <c r="R152" i="9"/>
  <c r="U259" i="9"/>
  <c r="D343" i="9"/>
  <c r="G356" i="9"/>
  <c r="T83" i="9"/>
  <c r="Q98" i="9"/>
  <c r="T103" i="9"/>
  <c r="S106" i="9"/>
  <c r="R109" i="9"/>
  <c r="R121" i="9"/>
  <c r="O121" i="9"/>
  <c r="S126" i="9"/>
  <c r="P129" i="9"/>
  <c r="O135" i="9"/>
  <c r="O138" i="9"/>
  <c r="S140" i="9"/>
  <c r="T143" i="9"/>
  <c r="R146" i="9"/>
  <c r="O152" i="9"/>
  <c r="H214" i="9"/>
  <c r="T216" i="9"/>
  <c r="X220" i="9"/>
  <c r="H253" i="9"/>
  <c r="E343" i="9"/>
  <c r="G357" i="9"/>
  <c r="G358" i="9" s="1"/>
  <c r="D516" i="9" s="1"/>
  <c r="D514" i="9"/>
  <c r="T134" i="9"/>
  <c r="Q134" i="9"/>
  <c r="P134" i="9"/>
  <c r="P154" i="9"/>
  <c r="S104" i="9"/>
  <c r="R104" i="9"/>
  <c r="T118" i="9"/>
  <c r="Q118" i="9"/>
  <c r="P118" i="9"/>
  <c r="T126" i="9"/>
  <c r="F342" i="9"/>
  <c r="V499" i="9"/>
  <c r="J499" i="9" s="1"/>
  <c r="O114" i="9"/>
  <c r="O151" i="9"/>
  <c r="T89" i="9"/>
  <c r="R127" i="9"/>
  <c r="Q127" i="9"/>
  <c r="S141" i="9"/>
  <c r="P141" i="9"/>
  <c r="O141" i="9"/>
  <c r="W216" i="9"/>
  <c r="H216" i="9" s="1"/>
  <c r="I258" i="9"/>
  <c r="H258" i="9"/>
  <c r="V506" i="9"/>
  <c r="J506" i="9" s="1"/>
  <c r="O116" i="9"/>
  <c r="O132" i="9"/>
  <c r="O148" i="9"/>
  <c r="X505" i="9"/>
  <c r="L505" i="9" s="1"/>
  <c r="E333" i="5"/>
  <c r="F333" i="5"/>
  <c r="G333" i="5"/>
  <c r="D333" i="5"/>
  <c r="D332" i="5"/>
  <c r="E331" i="5"/>
  <c r="F331" i="5"/>
  <c r="G331" i="5"/>
  <c r="D331" i="5"/>
  <c r="E329" i="5"/>
  <c r="F329" i="5"/>
  <c r="G329" i="5"/>
  <c r="D329" i="5"/>
  <c r="E328" i="5"/>
  <c r="F328" i="5"/>
  <c r="G328" i="5"/>
  <c r="D328" i="5"/>
  <c r="E327" i="5"/>
  <c r="F327" i="5"/>
  <c r="G327" i="5"/>
  <c r="D327" i="5"/>
  <c r="G516" i="5"/>
  <c r="D512" i="5"/>
  <c r="G512" i="5" s="1"/>
  <c r="G513" i="5" s="1"/>
  <c r="G508" i="5"/>
  <c r="F508" i="5"/>
  <c r="E508" i="5"/>
  <c r="G507" i="5"/>
  <c r="X506" i="5" s="1"/>
  <c r="L506" i="5" s="1"/>
  <c r="F507" i="5"/>
  <c r="W499" i="5" s="1"/>
  <c r="K499" i="5" s="1"/>
  <c r="E507" i="5"/>
  <c r="V503" i="5" s="1"/>
  <c r="J503" i="5" s="1"/>
  <c r="X502" i="5"/>
  <c r="L502" i="5" s="1"/>
  <c r="X498" i="5"/>
  <c r="L498" i="5" s="1"/>
  <c r="G487" i="5"/>
  <c r="E485" i="5"/>
  <c r="D483" i="5"/>
  <c r="G483" i="5" s="1"/>
  <c r="G484" i="5" s="1"/>
  <c r="G481" i="5"/>
  <c r="G482" i="5" s="1"/>
  <c r="F481" i="5"/>
  <c r="F482" i="5" s="1"/>
  <c r="E481" i="5"/>
  <c r="E482" i="5" s="1"/>
  <c r="X477" i="5"/>
  <c r="W477" i="5"/>
  <c r="V477" i="5"/>
  <c r="X476" i="5"/>
  <c r="W476" i="5"/>
  <c r="V476" i="5"/>
  <c r="X475" i="5"/>
  <c r="W475" i="5"/>
  <c r="V475" i="5"/>
  <c r="X474" i="5"/>
  <c r="W474" i="5"/>
  <c r="V474" i="5"/>
  <c r="X473" i="5"/>
  <c r="W473" i="5"/>
  <c r="V473" i="5"/>
  <c r="X472" i="5"/>
  <c r="W472" i="5"/>
  <c r="V472" i="5"/>
  <c r="X471" i="5"/>
  <c r="W471" i="5"/>
  <c r="V471" i="5"/>
  <c r="X470" i="5"/>
  <c r="W470" i="5"/>
  <c r="V470" i="5"/>
  <c r="X469" i="5"/>
  <c r="W469" i="5"/>
  <c r="V469" i="5"/>
  <c r="N461" i="5"/>
  <c r="G461" i="5"/>
  <c r="N460" i="5"/>
  <c r="E460" i="5"/>
  <c r="N459" i="5"/>
  <c r="D459" i="5"/>
  <c r="N458" i="5"/>
  <c r="D458" i="5"/>
  <c r="N457" i="5"/>
  <c r="D457" i="5"/>
  <c r="G457" i="5" s="1"/>
  <c r="G458" i="5" s="1"/>
  <c r="N456" i="5"/>
  <c r="N455" i="5"/>
  <c r="N454" i="5"/>
  <c r="X453" i="5"/>
  <c r="W453" i="5"/>
  <c r="V453" i="5"/>
  <c r="N453" i="5"/>
  <c r="X452" i="5"/>
  <c r="W452" i="5"/>
  <c r="V452" i="5"/>
  <c r="N452" i="5"/>
  <c r="X451" i="5"/>
  <c r="W451" i="5"/>
  <c r="V451" i="5"/>
  <c r="N451" i="5"/>
  <c r="X450" i="5"/>
  <c r="W450" i="5"/>
  <c r="V450" i="5"/>
  <c r="N450" i="5"/>
  <c r="X449" i="5"/>
  <c r="W449" i="5"/>
  <c r="V449" i="5"/>
  <c r="N449" i="5"/>
  <c r="X448" i="5"/>
  <c r="W448" i="5"/>
  <c r="V448" i="5"/>
  <c r="N448" i="5"/>
  <c r="X447" i="5"/>
  <c r="W447" i="5"/>
  <c r="V447" i="5"/>
  <c r="N447" i="5"/>
  <c r="X446" i="5"/>
  <c r="W446" i="5"/>
  <c r="V446" i="5"/>
  <c r="N446" i="5"/>
  <c r="X445" i="5"/>
  <c r="W445" i="5"/>
  <c r="V445" i="5"/>
  <c r="J423" i="5"/>
  <c r="E423" i="5"/>
  <c r="J422" i="5"/>
  <c r="E422" i="5"/>
  <c r="J421" i="5"/>
  <c r="E421" i="5"/>
  <c r="J420" i="5"/>
  <c r="E420" i="5"/>
  <c r="J419" i="5"/>
  <c r="E419" i="5"/>
  <c r="J418" i="5"/>
  <c r="E418" i="5"/>
  <c r="J417" i="5"/>
  <c r="E417" i="5"/>
  <c r="J416" i="5"/>
  <c r="E416" i="5"/>
  <c r="J415" i="5"/>
  <c r="E415" i="5"/>
  <c r="J414" i="5"/>
  <c r="E414" i="5"/>
  <c r="J413" i="5"/>
  <c r="E413" i="5"/>
  <c r="J412" i="5"/>
  <c r="E412" i="5"/>
  <c r="J411" i="5"/>
  <c r="E411" i="5"/>
  <c r="J410" i="5"/>
  <c r="E410" i="5"/>
  <c r="J409" i="5"/>
  <c r="E409" i="5"/>
  <c r="J408" i="5"/>
  <c r="E408" i="5"/>
  <c r="J407" i="5"/>
  <c r="E407" i="5"/>
  <c r="J406" i="5"/>
  <c r="E406" i="5"/>
  <c r="J405" i="5"/>
  <c r="E405" i="5"/>
  <c r="J404" i="5"/>
  <c r="E404" i="5"/>
  <c r="J403" i="5"/>
  <c r="E403" i="5"/>
  <c r="J402" i="5"/>
  <c r="E402" i="5"/>
  <c r="J401" i="5"/>
  <c r="E401" i="5"/>
  <c r="J400" i="5"/>
  <c r="E400" i="5"/>
  <c r="J399" i="5"/>
  <c r="E399" i="5"/>
  <c r="J398" i="5"/>
  <c r="E398" i="5"/>
  <c r="J397" i="5"/>
  <c r="E397" i="5"/>
  <c r="J396" i="5"/>
  <c r="E396" i="5"/>
  <c r="J395" i="5"/>
  <c r="E395" i="5"/>
  <c r="J394" i="5"/>
  <c r="E394" i="5"/>
  <c r="J393" i="5"/>
  <c r="E393" i="5"/>
  <c r="J392" i="5"/>
  <c r="E392" i="5"/>
  <c r="J391" i="5"/>
  <c r="E391" i="5"/>
  <c r="J390" i="5"/>
  <c r="E390" i="5"/>
  <c r="J389" i="5"/>
  <c r="E389" i="5"/>
  <c r="J388" i="5"/>
  <c r="E388" i="5"/>
  <c r="J387" i="5"/>
  <c r="E387" i="5"/>
  <c r="J386" i="5"/>
  <c r="E386" i="5"/>
  <c r="J385" i="5"/>
  <c r="E385" i="5"/>
  <c r="J384" i="5"/>
  <c r="E384" i="5"/>
  <c r="F348" i="5"/>
  <c r="D348" i="5"/>
  <c r="Y259" i="5"/>
  <c r="X259" i="5"/>
  <c r="W259" i="5"/>
  <c r="T259" i="5"/>
  <c r="S259" i="5"/>
  <c r="G259" i="5"/>
  <c r="Y258" i="5"/>
  <c r="X258" i="5"/>
  <c r="W258" i="5"/>
  <c r="T258" i="5"/>
  <c r="S258" i="5"/>
  <c r="G258" i="5"/>
  <c r="Y257" i="5"/>
  <c r="X257" i="5"/>
  <c r="W257" i="5"/>
  <c r="T257" i="5"/>
  <c r="S257" i="5"/>
  <c r="G257" i="5"/>
  <c r="A257" i="5" s="1"/>
  <c r="Y256" i="5"/>
  <c r="X256" i="5"/>
  <c r="W256" i="5"/>
  <c r="T256" i="5"/>
  <c r="S256" i="5"/>
  <c r="G256" i="5"/>
  <c r="I256" i="5" s="1"/>
  <c r="Y255" i="5"/>
  <c r="X255" i="5"/>
  <c r="W255" i="5"/>
  <c r="T255" i="5"/>
  <c r="S255" i="5"/>
  <c r="U255" i="5" s="1"/>
  <c r="G255" i="5"/>
  <c r="I255" i="5" s="1"/>
  <c r="A255" i="5"/>
  <c r="Y254" i="5"/>
  <c r="X254" i="5"/>
  <c r="W254" i="5"/>
  <c r="T254" i="5"/>
  <c r="S254" i="5"/>
  <c r="G254" i="5"/>
  <c r="A254" i="5" s="1"/>
  <c r="Y253" i="5"/>
  <c r="X253" i="5"/>
  <c r="W253" i="5"/>
  <c r="T253" i="5"/>
  <c r="S253" i="5"/>
  <c r="G253" i="5"/>
  <c r="H253" i="5" s="1"/>
  <c r="A253" i="5"/>
  <c r="Y252" i="5"/>
  <c r="X252" i="5"/>
  <c r="W252" i="5"/>
  <c r="T252" i="5"/>
  <c r="S252" i="5"/>
  <c r="G252" i="5"/>
  <c r="I252" i="5" s="1"/>
  <c r="A252" i="5"/>
  <c r="H226" i="5"/>
  <c r="H225" i="5"/>
  <c r="H224" i="5"/>
  <c r="Z220" i="5"/>
  <c r="X220" i="5" s="1"/>
  <c r="S220" i="5"/>
  <c r="G220" i="5"/>
  <c r="V220" i="5" s="1"/>
  <c r="Z219" i="5"/>
  <c r="X219" i="5" s="1"/>
  <c r="S219" i="5"/>
  <c r="G219" i="5"/>
  <c r="V219" i="5" s="1"/>
  <c r="Z218" i="5"/>
  <c r="W218" i="5" s="1"/>
  <c r="S218" i="5"/>
  <c r="G218" i="5"/>
  <c r="U218" i="5" s="1"/>
  <c r="Z217" i="5"/>
  <c r="W217" i="5" s="1"/>
  <c r="S217" i="5"/>
  <c r="G217" i="5"/>
  <c r="Z216" i="5"/>
  <c r="X216" i="5" s="1"/>
  <c r="W216" i="5"/>
  <c r="S216" i="5"/>
  <c r="G216" i="5"/>
  <c r="U216" i="5" s="1"/>
  <c r="Z215" i="5"/>
  <c r="S215" i="5"/>
  <c r="G215" i="5"/>
  <c r="Z214" i="5"/>
  <c r="W214" i="5" s="1"/>
  <c r="S214" i="5"/>
  <c r="G214" i="5"/>
  <c r="U214" i="5" s="1"/>
  <c r="Z213" i="5"/>
  <c r="S213" i="5"/>
  <c r="G213" i="5"/>
  <c r="V213" i="5" s="1"/>
  <c r="J160" i="5"/>
  <c r="T160" i="5" s="1"/>
  <c r="J159" i="5"/>
  <c r="T159" i="5" s="1"/>
  <c r="J158" i="5"/>
  <c r="J157" i="5"/>
  <c r="O157" i="5" s="1"/>
  <c r="J156" i="5"/>
  <c r="J155" i="5"/>
  <c r="P155" i="5" s="1"/>
  <c r="J154" i="5"/>
  <c r="S154" i="5" s="1"/>
  <c r="J153" i="5"/>
  <c r="P153" i="5" s="1"/>
  <c r="J152" i="5"/>
  <c r="T152" i="5" s="1"/>
  <c r="J151" i="5"/>
  <c r="Q151" i="5" s="1"/>
  <c r="J150" i="5"/>
  <c r="S150" i="5" s="1"/>
  <c r="J149" i="5"/>
  <c r="R149" i="5" s="1"/>
  <c r="J148" i="5"/>
  <c r="Q148" i="5" s="1"/>
  <c r="J147" i="5"/>
  <c r="P147" i="5" s="1"/>
  <c r="J146" i="5"/>
  <c r="P146" i="5" s="1"/>
  <c r="J145" i="5"/>
  <c r="P145" i="5" s="1"/>
  <c r="J144" i="5"/>
  <c r="T144" i="5" s="1"/>
  <c r="J143" i="5"/>
  <c r="R143" i="5" s="1"/>
  <c r="J142" i="5"/>
  <c r="T142" i="5" s="1"/>
  <c r="J141" i="5"/>
  <c r="O141" i="5" s="1"/>
  <c r="J140" i="5"/>
  <c r="R140" i="5" s="1"/>
  <c r="J139" i="5"/>
  <c r="P139" i="5" s="1"/>
  <c r="J138" i="5"/>
  <c r="P138" i="5" s="1"/>
  <c r="J137" i="5"/>
  <c r="P137" i="5" s="1"/>
  <c r="J136" i="5"/>
  <c r="T136" i="5" s="1"/>
  <c r="J135" i="5"/>
  <c r="Q135" i="5" s="1"/>
  <c r="J134" i="5"/>
  <c r="T134" i="5" s="1"/>
  <c r="J133" i="5"/>
  <c r="Q133" i="5" s="1"/>
  <c r="J132" i="5"/>
  <c r="P132" i="5" s="1"/>
  <c r="J131" i="5"/>
  <c r="P131" i="5" s="1"/>
  <c r="J130" i="5"/>
  <c r="P130" i="5" s="1"/>
  <c r="J129" i="5"/>
  <c r="O129" i="5" s="1"/>
  <c r="J128" i="5"/>
  <c r="T128" i="5" s="1"/>
  <c r="J127" i="5"/>
  <c r="Q127" i="5" s="1"/>
  <c r="J126" i="5"/>
  <c r="S126" i="5" s="1"/>
  <c r="J125" i="5"/>
  <c r="O125" i="5" s="1"/>
  <c r="J124" i="5"/>
  <c r="R124" i="5" s="1"/>
  <c r="J123" i="5"/>
  <c r="P123" i="5" s="1"/>
  <c r="J122" i="5"/>
  <c r="P122" i="5" s="1"/>
  <c r="J121" i="5"/>
  <c r="J120" i="5"/>
  <c r="T120" i="5" s="1"/>
  <c r="J119" i="5"/>
  <c r="T119" i="5" s="1"/>
  <c r="J118" i="5"/>
  <c r="Q118" i="5" s="1"/>
  <c r="J117" i="5"/>
  <c r="P117" i="5" s="1"/>
  <c r="J116" i="5"/>
  <c r="O116" i="5" s="1"/>
  <c r="J115" i="5"/>
  <c r="P115" i="5" s="1"/>
  <c r="J114" i="5"/>
  <c r="P114" i="5" s="1"/>
  <c r="J113" i="5"/>
  <c r="J112" i="5"/>
  <c r="T112" i="5" s="1"/>
  <c r="J111" i="5"/>
  <c r="O111" i="5" s="1"/>
  <c r="J110" i="5"/>
  <c r="T110" i="5" s="1"/>
  <c r="J109" i="5"/>
  <c r="J108" i="5"/>
  <c r="Q108" i="5" s="1"/>
  <c r="J107" i="5"/>
  <c r="P107" i="5" s="1"/>
  <c r="J106" i="5"/>
  <c r="P106" i="5" s="1"/>
  <c r="J105" i="5"/>
  <c r="J104" i="5"/>
  <c r="T104" i="5" s="1"/>
  <c r="J103" i="5"/>
  <c r="P103" i="5" s="1"/>
  <c r="J102" i="5"/>
  <c r="Q102" i="5" s="1"/>
  <c r="J101" i="5"/>
  <c r="T101" i="5" s="1"/>
  <c r="S100" i="5"/>
  <c r="R100" i="5"/>
  <c r="P100" i="5"/>
  <c r="O100" i="5"/>
  <c r="S99" i="5"/>
  <c r="R99" i="5"/>
  <c r="P99" i="5"/>
  <c r="O99" i="5"/>
  <c r="S98" i="5"/>
  <c r="R98" i="5"/>
  <c r="P98" i="5"/>
  <c r="O98" i="5"/>
  <c r="S97" i="5"/>
  <c r="R97" i="5"/>
  <c r="P97" i="5"/>
  <c r="O97" i="5"/>
  <c r="S96" i="5"/>
  <c r="R96" i="5"/>
  <c r="T96" i="5" s="1"/>
  <c r="P96" i="5"/>
  <c r="O96" i="5"/>
  <c r="S95" i="5"/>
  <c r="R95" i="5"/>
  <c r="P95" i="5"/>
  <c r="O95" i="5"/>
  <c r="Q95" i="5" s="1"/>
  <c r="S94" i="5"/>
  <c r="R94" i="5"/>
  <c r="P94" i="5"/>
  <c r="O94" i="5"/>
  <c r="Q94" i="5" s="1"/>
  <c r="S93" i="5"/>
  <c r="R93" i="5"/>
  <c r="P93" i="5"/>
  <c r="O93" i="5"/>
  <c r="S92" i="5"/>
  <c r="R92" i="5"/>
  <c r="P92" i="5"/>
  <c r="O92" i="5"/>
  <c r="S91" i="5"/>
  <c r="R91" i="5"/>
  <c r="P91" i="5"/>
  <c r="O91" i="5"/>
  <c r="S90" i="5"/>
  <c r="R90" i="5"/>
  <c r="P90" i="5"/>
  <c r="O90" i="5"/>
  <c r="S89" i="5"/>
  <c r="R89" i="5"/>
  <c r="P89" i="5"/>
  <c r="O89" i="5"/>
  <c r="S88" i="5"/>
  <c r="R88" i="5"/>
  <c r="T88" i="5" s="1"/>
  <c r="P88" i="5"/>
  <c r="O88" i="5"/>
  <c r="S87" i="5"/>
  <c r="R87" i="5"/>
  <c r="P87" i="5"/>
  <c r="O87" i="5"/>
  <c r="S86" i="5"/>
  <c r="R86" i="5"/>
  <c r="P86" i="5"/>
  <c r="O86" i="5"/>
  <c r="S85" i="5"/>
  <c r="R85" i="5"/>
  <c r="P85" i="5"/>
  <c r="O85" i="5"/>
  <c r="S84" i="5"/>
  <c r="R84" i="5"/>
  <c r="T84" i="5" s="1"/>
  <c r="P84" i="5"/>
  <c r="O84" i="5"/>
  <c r="Q84" i="5" s="1"/>
  <c r="S83" i="5"/>
  <c r="R83" i="5"/>
  <c r="P83" i="5"/>
  <c r="O83" i="5"/>
  <c r="Q83" i="5" s="1"/>
  <c r="S82" i="5"/>
  <c r="R82" i="5"/>
  <c r="P82" i="5"/>
  <c r="O82" i="5"/>
  <c r="S81" i="5"/>
  <c r="R81" i="5"/>
  <c r="P81" i="5"/>
  <c r="O81" i="5"/>
  <c r="S80" i="5"/>
  <c r="R80" i="5"/>
  <c r="P80" i="5"/>
  <c r="O80" i="5"/>
  <c r="S79" i="5"/>
  <c r="R79" i="5"/>
  <c r="P79" i="5"/>
  <c r="O79" i="5"/>
  <c r="S78" i="5"/>
  <c r="R78" i="5"/>
  <c r="T78" i="5" s="1"/>
  <c r="P78" i="5"/>
  <c r="O78" i="5"/>
  <c r="S77" i="5"/>
  <c r="R77" i="5"/>
  <c r="P77" i="5"/>
  <c r="O77" i="5"/>
  <c r="Q77" i="5" s="1"/>
  <c r="S76" i="5"/>
  <c r="R76" i="5"/>
  <c r="P76" i="5"/>
  <c r="O76" i="5"/>
  <c r="Q76" i="5" s="1"/>
  <c r="S75" i="5"/>
  <c r="R75" i="5"/>
  <c r="P75" i="5"/>
  <c r="O75" i="5"/>
  <c r="S74" i="5"/>
  <c r="R74" i="5"/>
  <c r="P74" i="5"/>
  <c r="O74" i="5"/>
  <c r="S73" i="5"/>
  <c r="R73" i="5"/>
  <c r="P73" i="5"/>
  <c r="O73" i="5"/>
  <c r="S72" i="5"/>
  <c r="R72" i="5"/>
  <c r="P72" i="5"/>
  <c r="O72" i="5"/>
  <c r="S71" i="5"/>
  <c r="R71" i="5"/>
  <c r="P71" i="5"/>
  <c r="O71" i="5"/>
  <c r="S70" i="5"/>
  <c r="R70" i="5"/>
  <c r="P70" i="5"/>
  <c r="O70" i="5"/>
  <c r="Q70" i="5" s="1"/>
  <c r="S69" i="5"/>
  <c r="R69" i="5"/>
  <c r="P69" i="5"/>
  <c r="O69" i="5"/>
  <c r="S68" i="5"/>
  <c r="R68" i="5"/>
  <c r="P68" i="5"/>
  <c r="O68" i="5"/>
  <c r="Q68" i="5" s="1"/>
  <c r="S67" i="5"/>
  <c r="R67" i="5"/>
  <c r="P67" i="5"/>
  <c r="O67" i="5"/>
  <c r="S66" i="5"/>
  <c r="R66" i="5"/>
  <c r="P66" i="5"/>
  <c r="O66" i="5"/>
  <c r="Q66" i="5" s="1"/>
  <c r="S65" i="5"/>
  <c r="R65" i="5"/>
  <c r="P65" i="5"/>
  <c r="O65" i="5"/>
  <c r="Q65" i="5" s="1"/>
  <c r="S64" i="5"/>
  <c r="R64" i="5"/>
  <c r="P64" i="5"/>
  <c r="O64" i="5"/>
  <c r="Q64" i="5" s="1"/>
  <c r="S63" i="5"/>
  <c r="R63" i="5"/>
  <c r="P63" i="5"/>
  <c r="O63" i="5"/>
  <c r="S62" i="5"/>
  <c r="R62" i="5"/>
  <c r="T62" i="5" s="1"/>
  <c r="P62" i="5"/>
  <c r="O62" i="5"/>
  <c r="S61" i="5"/>
  <c r="R61" i="5"/>
  <c r="P61" i="5"/>
  <c r="O61" i="5"/>
  <c r="Q61" i="5" s="1"/>
  <c r="G60" i="5"/>
  <c r="C53" i="5"/>
  <c r="E52" i="5"/>
  <c r="E51" i="5"/>
  <c r="E50" i="5"/>
  <c r="E49" i="5"/>
  <c r="E164" i="9" l="1"/>
  <c r="D165" i="9"/>
  <c r="E165" i="9"/>
  <c r="D164" i="9"/>
  <c r="J163" i="9" s="1"/>
  <c r="J164" i="9" s="1"/>
  <c r="D461" i="9"/>
  <c r="T501" i="9"/>
  <c r="T503" i="9"/>
  <c r="T498" i="9"/>
  <c r="T502" i="9"/>
  <c r="S504" i="9"/>
  <c r="T504" i="9"/>
  <c r="T506" i="9"/>
  <c r="R501" i="9"/>
  <c r="S506" i="9"/>
  <c r="S499" i="9"/>
  <c r="T499" i="9"/>
  <c r="S501" i="9"/>
  <c r="T500" i="9"/>
  <c r="S503" i="9"/>
  <c r="S502" i="9"/>
  <c r="S505" i="9"/>
  <c r="R504" i="9"/>
  <c r="R499" i="9"/>
  <c r="R506" i="9"/>
  <c r="R503" i="9"/>
  <c r="S498" i="9"/>
  <c r="S500" i="9"/>
  <c r="R505" i="9"/>
  <c r="F363" i="9"/>
  <c r="F367" i="9" s="1"/>
  <c r="E363" i="9"/>
  <c r="E367" i="9" s="1"/>
  <c r="G362" i="9"/>
  <c r="G366" i="9" s="1"/>
  <c r="F362" i="9"/>
  <c r="F366" i="9" s="1"/>
  <c r="D362" i="9"/>
  <c r="D366" i="9" s="1"/>
  <c r="D363" i="9"/>
  <c r="D367" i="9" s="1"/>
  <c r="E362" i="9"/>
  <c r="E366" i="9" s="1"/>
  <c r="G363" i="9"/>
  <c r="G367" i="9" s="1"/>
  <c r="R500" i="9"/>
  <c r="R502" i="9"/>
  <c r="R498" i="9"/>
  <c r="T505" i="9"/>
  <c r="F338" i="5"/>
  <c r="F343" i="5"/>
  <c r="E338" i="5"/>
  <c r="E343" i="5"/>
  <c r="G337" i="5"/>
  <c r="G342" i="5"/>
  <c r="F337" i="5"/>
  <c r="F342" i="5"/>
  <c r="D338" i="5"/>
  <c r="D343" i="5" s="1"/>
  <c r="D337" i="5"/>
  <c r="D342" i="5" s="1"/>
  <c r="E337" i="5"/>
  <c r="E342" i="5"/>
  <c r="G338" i="5"/>
  <c r="G343" i="5"/>
  <c r="O159" i="5"/>
  <c r="Q79" i="5"/>
  <c r="Q89" i="5"/>
  <c r="Q93" i="5"/>
  <c r="T114" i="5"/>
  <c r="X217" i="5"/>
  <c r="Q107" i="5"/>
  <c r="T213" i="5"/>
  <c r="T218" i="5"/>
  <c r="S157" i="5"/>
  <c r="T219" i="5"/>
  <c r="I253" i="5"/>
  <c r="S136" i="5"/>
  <c r="T214" i="5"/>
  <c r="R136" i="5"/>
  <c r="T87" i="5"/>
  <c r="T91" i="5"/>
  <c r="T95" i="5"/>
  <c r="R127" i="5"/>
  <c r="S114" i="5"/>
  <c r="S127" i="5"/>
  <c r="T92" i="5"/>
  <c r="T86" i="5"/>
  <c r="T90" i="5"/>
  <c r="T94" i="5"/>
  <c r="T98" i="5"/>
  <c r="Q144" i="5"/>
  <c r="T215" i="5"/>
  <c r="V255" i="5"/>
  <c r="R152" i="5"/>
  <c r="Q67" i="5"/>
  <c r="Q75" i="5"/>
  <c r="S107" i="5"/>
  <c r="T216" i="5"/>
  <c r="W220" i="5"/>
  <c r="Q152" i="5"/>
  <c r="T107" i="5"/>
  <c r="R107" i="5"/>
  <c r="T220" i="5"/>
  <c r="T63" i="5"/>
  <c r="T67" i="5"/>
  <c r="T71" i="5"/>
  <c r="T75" i="5"/>
  <c r="P159" i="5"/>
  <c r="T81" i="5"/>
  <c r="Q88" i="5"/>
  <c r="Q92" i="5"/>
  <c r="V252" i="5"/>
  <c r="T70" i="5"/>
  <c r="Q116" i="5"/>
  <c r="T147" i="5"/>
  <c r="R103" i="5"/>
  <c r="R116" i="5"/>
  <c r="S123" i="5"/>
  <c r="Q132" i="5"/>
  <c r="V216" i="5"/>
  <c r="S160" i="5"/>
  <c r="I257" i="5"/>
  <c r="Q103" i="5"/>
  <c r="R123" i="5"/>
  <c r="V257" i="5"/>
  <c r="P111" i="5"/>
  <c r="R132" i="5"/>
  <c r="U213" i="5"/>
  <c r="T155" i="5"/>
  <c r="O104" i="5"/>
  <c r="S111" i="5"/>
  <c r="S118" i="5"/>
  <c r="T126" i="5"/>
  <c r="S134" i="5"/>
  <c r="T217" i="5"/>
  <c r="T68" i="5"/>
  <c r="T72" i="5"/>
  <c r="T76" i="5"/>
  <c r="Q96" i="5"/>
  <c r="Q100" i="5"/>
  <c r="T118" i="5"/>
  <c r="P144" i="5"/>
  <c r="T150" i="5"/>
  <c r="P157" i="5"/>
  <c r="P116" i="5"/>
  <c r="S147" i="5"/>
  <c r="U219" i="5"/>
  <c r="S130" i="5"/>
  <c r="T74" i="5"/>
  <c r="Q123" i="5"/>
  <c r="R111" i="5"/>
  <c r="S102" i="5"/>
  <c r="T80" i="5"/>
  <c r="U253" i="5"/>
  <c r="G509" i="5"/>
  <c r="Q85" i="5"/>
  <c r="T157" i="5"/>
  <c r="T85" i="5"/>
  <c r="T89" i="5"/>
  <c r="Q114" i="5"/>
  <c r="S120" i="5"/>
  <c r="T127" i="5"/>
  <c r="P136" i="5"/>
  <c r="S144" i="5"/>
  <c r="O152" i="5"/>
  <c r="V214" i="5"/>
  <c r="V256" i="5"/>
  <c r="Q86" i="5"/>
  <c r="T102" i="5"/>
  <c r="O123" i="5"/>
  <c r="T130" i="5"/>
  <c r="R147" i="5"/>
  <c r="S103" i="5"/>
  <c r="T103" i="5"/>
  <c r="Q111" i="5"/>
  <c r="P149" i="5"/>
  <c r="Q149" i="5"/>
  <c r="R144" i="5"/>
  <c r="T65" i="5"/>
  <c r="T73" i="5"/>
  <c r="T93" i="5"/>
  <c r="R114" i="5"/>
  <c r="Q136" i="5"/>
  <c r="P152" i="5"/>
  <c r="X214" i="5"/>
  <c r="H214" i="5" s="1"/>
  <c r="D484" i="5"/>
  <c r="D485" i="5" s="1"/>
  <c r="T99" i="5"/>
  <c r="O112" i="5"/>
  <c r="P124" i="5"/>
  <c r="O160" i="5"/>
  <c r="X505" i="5"/>
  <c r="L505" i="5" s="1"/>
  <c r="O117" i="5"/>
  <c r="O127" i="5"/>
  <c r="O103" i="5"/>
  <c r="W219" i="5"/>
  <c r="H219" i="5" s="1"/>
  <c r="V498" i="5"/>
  <c r="J498" i="5" s="1"/>
  <c r="V502" i="5"/>
  <c r="J502" i="5" s="1"/>
  <c r="V506" i="5"/>
  <c r="J506" i="5" s="1"/>
  <c r="W505" i="5"/>
  <c r="K505" i="5" s="1"/>
  <c r="O120" i="5"/>
  <c r="Q140" i="5"/>
  <c r="P120" i="5"/>
  <c r="P160" i="5"/>
  <c r="T61" i="5"/>
  <c r="Q80" i="5"/>
  <c r="Q120" i="5"/>
  <c r="P127" i="5"/>
  <c r="Q130" i="5"/>
  <c r="O147" i="5"/>
  <c r="Q150" i="5"/>
  <c r="Q160" i="5"/>
  <c r="Q62" i="5"/>
  <c r="T83" i="5"/>
  <c r="Q99" i="5"/>
  <c r="O107" i="5"/>
  <c r="T111" i="5"/>
  <c r="R120" i="5"/>
  <c r="T123" i="5"/>
  <c r="R130" i="5"/>
  <c r="Q147" i="5"/>
  <c r="S152" i="5"/>
  <c r="R160" i="5"/>
  <c r="H256" i="5"/>
  <c r="E348" i="5"/>
  <c r="E349" i="5" s="1"/>
  <c r="D460" i="5"/>
  <c r="W498" i="5"/>
  <c r="K498" i="5" s="1"/>
  <c r="W502" i="5"/>
  <c r="K502" i="5" s="1"/>
  <c r="W506" i="5"/>
  <c r="K506" i="5" s="1"/>
  <c r="O115" i="5"/>
  <c r="U252" i="5"/>
  <c r="Q115" i="5"/>
  <c r="R138" i="5"/>
  <c r="U256" i="5"/>
  <c r="Q63" i="5"/>
  <c r="T66" i="5"/>
  <c r="T69" i="5"/>
  <c r="Q73" i="5"/>
  <c r="Q81" i="5"/>
  <c r="Q90" i="5"/>
  <c r="T100" i="5"/>
  <c r="R112" i="5"/>
  <c r="S115" i="5"/>
  <c r="O119" i="5"/>
  <c r="Q122" i="5"/>
  <c r="O128" i="5"/>
  <c r="O131" i="5"/>
  <c r="P135" i="5"/>
  <c r="T138" i="5"/>
  <c r="P143" i="5"/>
  <c r="S145" i="5"/>
  <c r="O148" i="5"/>
  <c r="O151" i="5"/>
  <c r="X500" i="5"/>
  <c r="L500" i="5" s="1"/>
  <c r="X499" i="5"/>
  <c r="L499" i="5" s="1"/>
  <c r="F509" i="5"/>
  <c r="Q104" i="5"/>
  <c r="S110" i="5"/>
  <c r="R119" i="5"/>
  <c r="T122" i="5"/>
  <c r="P125" i="5"/>
  <c r="R128" i="5"/>
  <c r="S131" i="5"/>
  <c r="S135" i="5"/>
  <c r="Q139" i="5"/>
  <c r="S143" i="5"/>
  <c r="Q146" i="5"/>
  <c r="R148" i="5"/>
  <c r="R151" i="5"/>
  <c r="O155" i="5"/>
  <c r="Q159" i="5"/>
  <c r="V218" i="5"/>
  <c r="V501" i="5"/>
  <c r="J501" i="5" s="1"/>
  <c r="V504" i="5"/>
  <c r="J504" i="5" s="1"/>
  <c r="W503" i="5"/>
  <c r="K503" i="5" s="1"/>
  <c r="Q124" i="5"/>
  <c r="O145" i="5"/>
  <c r="H220" i="5"/>
  <c r="R115" i="5"/>
  <c r="S122" i="5"/>
  <c r="R135" i="5"/>
  <c r="Q74" i="5"/>
  <c r="T77" i="5"/>
  <c r="Q82" i="5"/>
  <c r="Q91" i="5"/>
  <c r="T97" i="5"/>
  <c r="R104" i="5"/>
  <c r="S119" i="5"/>
  <c r="Q125" i="5"/>
  <c r="S128" i="5"/>
  <c r="T131" i="5"/>
  <c r="T135" i="5"/>
  <c r="R139" i="5"/>
  <c r="T143" i="5"/>
  <c r="R146" i="5"/>
  <c r="S151" i="5"/>
  <c r="Q155" i="5"/>
  <c r="R159" i="5"/>
  <c r="X218" i="5"/>
  <c r="H218" i="5" s="1"/>
  <c r="H257" i="5"/>
  <c r="W501" i="5"/>
  <c r="K501" i="5" s="1"/>
  <c r="W504" i="5"/>
  <c r="K504" i="5" s="1"/>
  <c r="P112" i="5"/>
  <c r="Q112" i="5"/>
  <c r="O143" i="5"/>
  <c r="W500" i="5"/>
  <c r="K500" i="5" s="1"/>
  <c r="S112" i="5"/>
  <c r="P119" i="5"/>
  <c r="Q131" i="5"/>
  <c r="Q143" i="5"/>
  <c r="P148" i="5"/>
  <c r="S104" i="5"/>
  <c r="S139" i="5"/>
  <c r="T151" i="5"/>
  <c r="R155" i="5"/>
  <c r="X501" i="5"/>
  <c r="L501" i="5" s="1"/>
  <c r="X504" i="5"/>
  <c r="L504" i="5" s="1"/>
  <c r="X503" i="5"/>
  <c r="L503" i="5" s="1"/>
  <c r="O135" i="5"/>
  <c r="S138" i="5"/>
  <c r="E509" i="5"/>
  <c r="T115" i="5"/>
  <c r="R122" i="5"/>
  <c r="P128" i="5"/>
  <c r="P151" i="5"/>
  <c r="U220" i="5"/>
  <c r="P104" i="5"/>
  <c r="Q119" i="5"/>
  <c r="Q128" i="5"/>
  <c r="R131" i="5"/>
  <c r="O139" i="5"/>
  <c r="O146" i="5"/>
  <c r="S146" i="5"/>
  <c r="S159" i="5"/>
  <c r="Q71" i="5"/>
  <c r="Q78" i="5"/>
  <c r="T79" i="5"/>
  <c r="Q98" i="5"/>
  <c r="O114" i="5"/>
  <c r="O136" i="5"/>
  <c r="T139" i="5"/>
  <c r="O144" i="5"/>
  <c r="T146" i="5"/>
  <c r="O149" i="5"/>
  <c r="S155" i="5"/>
  <c r="U257" i="5"/>
  <c r="V505" i="5"/>
  <c r="J505" i="5" s="1"/>
  <c r="T156" i="5"/>
  <c r="S156" i="5"/>
  <c r="R156" i="5"/>
  <c r="P156" i="5"/>
  <c r="Q156" i="5"/>
  <c r="O156" i="5"/>
  <c r="V259" i="5"/>
  <c r="R141" i="5"/>
  <c r="T141" i="5"/>
  <c r="X213" i="5"/>
  <c r="W213" i="5"/>
  <c r="H213" i="5" s="1"/>
  <c r="T153" i="5"/>
  <c r="R153" i="5"/>
  <c r="Q153" i="5"/>
  <c r="U259" i="5"/>
  <c r="O108" i="5"/>
  <c r="T113" i="5"/>
  <c r="R113" i="5"/>
  <c r="Q113" i="5"/>
  <c r="P113" i="5"/>
  <c r="S113" i="5"/>
  <c r="O113" i="5"/>
  <c r="P133" i="5"/>
  <c r="Q141" i="5"/>
  <c r="V217" i="5"/>
  <c r="U217" i="5"/>
  <c r="H217" i="5"/>
  <c r="O106" i="5"/>
  <c r="T108" i="5"/>
  <c r="S108" i="5"/>
  <c r="S141" i="5"/>
  <c r="Q106" i="5"/>
  <c r="R108" i="5"/>
  <c r="R106" i="5"/>
  <c r="T121" i="5"/>
  <c r="R121" i="5"/>
  <c r="Q121" i="5"/>
  <c r="P121" i="5"/>
  <c r="S121" i="5"/>
  <c r="S149" i="5"/>
  <c r="H254" i="5"/>
  <c r="T149" i="5"/>
  <c r="R158" i="5"/>
  <c r="P158" i="5"/>
  <c r="O158" i="5"/>
  <c r="T158" i="5"/>
  <c r="S158" i="5"/>
  <c r="I254" i="5"/>
  <c r="R109" i="5"/>
  <c r="T109" i="5"/>
  <c r="S109" i="5"/>
  <c r="Q109" i="5"/>
  <c r="P109" i="5"/>
  <c r="Q158" i="5"/>
  <c r="I258" i="5"/>
  <c r="H258" i="5"/>
  <c r="A258" i="5"/>
  <c r="D427" i="5"/>
  <c r="O109" i="5"/>
  <c r="T129" i="5"/>
  <c r="R129" i="5"/>
  <c r="Q129" i="5"/>
  <c r="S129" i="5"/>
  <c r="P129" i="5"/>
  <c r="T145" i="5"/>
  <c r="R145" i="5"/>
  <c r="Q145" i="5"/>
  <c r="I427" i="5"/>
  <c r="I428" i="5"/>
  <c r="D428" i="5"/>
  <c r="O153" i="5"/>
  <c r="R133" i="5"/>
  <c r="T133" i="5"/>
  <c r="S133" i="5"/>
  <c r="P108" i="5"/>
  <c r="R101" i="5"/>
  <c r="S101" i="5"/>
  <c r="P101" i="5"/>
  <c r="O101" i="5"/>
  <c r="Q101" i="5"/>
  <c r="S106" i="5"/>
  <c r="O121" i="5"/>
  <c r="T106" i="5"/>
  <c r="T82" i="5"/>
  <c r="R102" i="5"/>
  <c r="P102" i="5"/>
  <c r="O102" i="5"/>
  <c r="R117" i="5"/>
  <c r="T117" i="5"/>
  <c r="S117" i="5"/>
  <c r="Q117" i="5"/>
  <c r="X215" i="5"/>
  <c r="W215" i="5"/>
  <c r="H215" i="5" s="1"/>
  <c r="V258" i="5"/>
  <c r="U258" i="5"/>
  <c r="O133" i="5"/>
  <c r="P141" i="5"/>
  <c r="S153" i="5"/>
  <c r="R110" i="5"/>
  <c r="P110" i="5"/>
  <c r="O110" i="5"/>
  <c r="T137" i="5"/>
  <c r="R137" i="5"/>
  <c r="Q137" i="5"/>
  <c r="S137" i="5"/>
  <c r="Q110" i="5"/>
  <c r="O137" i="5"/>
  <c r="H216" i="5"/>
  <c r="T64" i="5"/>
  <c r="R125" i="5"/>
  <c r="T125" i="5"/>
  <c r="S125" i="5"/>
  <c r="G348" i="5"/>
  <c r="G349" i="5" s="1"/>
  <c r="F349" i="5"/>
  <c r="V254" i="5"/>
  <c r="U254" i="5"/>
  <c r="T105" i="5"/>
  <c r="R105" i="5"/>
  <c r="Q105" i="5"/>
  <c r="O105" i="5"/>
  <c r="P154" i="5"/>
  <c r="O154" i="5"/>
  <c r="Q69" i="5"/>
  <c r="Q72" i="5"/>
  <c r="Q87" i="5"/>
  <c r="Q97" i="5"/>
  <c r="P105" i="5"/>
  <c r="Q154" i="5"/>
  <c r="V215" i="5"/>
  <c r="U215" i="5"/>
  <c r="V253" i="5"/>
  <c r="H255" i="5"/>
  <c r="S105" i="5"/>
  <c r="T148" i="5"/>
  <c r="S148" i="5"/>
  <c r="R150" i="5"/>
  <c r="P150" i="5"/>
  <c r="O150" i="5"/>
  <c r="R154" i="5"/>
  <c r="U454" i="5"/>
  <c r="U478" i="5"/>
  <c r="T140" i="5"/>
  <c r="S140" i="5"/>
  <c r="T124" i="5"/>
  <c r="S124" i="5"/>
  <c r="T132" i="5"/>
  <c r="S132" i="5"/>
  <c r="O138" i="5"/>
  <c r="H259" i="5"/>
  <c r="A259" i="5"/>
  <c r="R142" i="5"/>
  <c r="P142" i="5"/>
  <c r="O142" i="5"/>
  <c r="D349" i="5"/>
  <c r="R126" i="5"/>
  <c r="P126" i="5"/>
  <c r="O126" i="5"/>
  <c r="R134" i="5"/>
  <c r="P134" i="5"/>
  <c r="O134" i="5"/>
  <c r="O140" i="5"/>
  <c r="Q142" i="5"/>
  <c r="T154" i="5"/>
  <c r="E467" i="5"/>
  <c r="E492" i="5"/>
  <c r="E441" i="5"/>
  <c r="T116" i="5"/>
  <c r="S116" i="5"/>
  <c r="R118" i="5"/>
  <c r="P118" i="5"/>
  <c r="O118" i="5"/>
  <c r="O122" i="5"/>
  <c r="O124" i="5"/>
  <c r="Q126" i="5"/>
  <c r="O130" i="5"/>
  <c r="O132" i="5"/>
  <c r="Q134" i="5"/>
  <c r="Q138" i="5"/>
  <c r="P140" i="5"/>
  <c r="S142" i="5"/>
  <c r="R157" i="5"/>
  <c r="Q157" i="5"/>
  <c r="I259" i="5"/>
  <c r="V500" i="5"/>
  <c r="J500" i="5" s="1"/>
  <c r="A256" i="5"/>
  <c r="V499" i="5"/>
  <c r="J499" i="5" s="1"/>
  <c r="D514" i="5"/>
  <c r="G356" i="5"/>
  <c r="G357" i="5"/>
  <c r="G358" i="5" s="1"/>
  <c r="D516" i="5" s="1"/>
  <c r="T498" i="5" s="1"/>
  <c r="Q507" i="9" l="1"/>
  <c r="S505" i="5"/>
  <c r="T504" i="5"/>
  <c r="R505" i="5"/>
  <c r="R506" i="5"/>
  <c r="R499" i="5"/>
  <c r="S501" i="5"/>
  <c r="T501" i="5"/>
  <c r="R502" i="5"/>
  <c r="S506" i="5"/>
  <c r="R498" i="5"/>
  <c r="S502" i="5"/>
  <c r="R500" i="5"/>
  <c r="S503" i="5"/>
  <c r="S498" i="5"/>
  <c r="S500" i="5"/>
  <c r="R504" i="5"/>
  <c r="R501" i="5"/>
  <c r="T506" i="5"/>
  <c r="T505" i="5"/>
  <c r="S499" i="5"/>
  <c r="T499" i="5"/>
  <c r="R503" i="5"/>
  <c r="T503" i="5"/>
  <c r="S504" i="5"/>
  <c r="T500" i="5"/>
  <c r="T502" i="5"/>
  <c r="E362" i="5"/>
  <c r="F362" i="5"/>
  <c r="G362" i="5"/>
  <c r="E363" i="5"/>
  <c r="F363" i="5"/>
  <c r="G363" i="5"/>
  <c r="D362" i="5"/>
  <c r="D363" i="5"/>
  <c r="D513" i="5"/>
  <c r="D429" i="5"/>
  <c r="D426" i="5" s="1"/>
  <c r="E164" i="5"/>
  <c r="I429" i="5"/>
  <c r="I426" i="5" s="1"/>
  <c r="E165" i="5"/>
  <c r="U479" i="5"/>
  <c r="D486" i="5"/>
  <c r="U455" i="5"/>
  <c r="D461" i="5"/>
  <c r="D164" i="5"/>
  <c r="D165" i="5"/>
  <c r="Q508" i="9" l="1"/>
  <c r="D517" i="9"/>
  <c r="Q507" i="5"/>
  <c r="D517" i="5" s="1"/>
  <c r="D366" i="5"/>
  <c r="J163" i="5"/>
  <c r="J164" i="5" s="1"/>
  <c r="Q508" i="5" l="1"/>
  <c r="D350" i="5"/>
  <c r="D351" i="5" s="1"/>
  <c r="F332" i="5" l="1"/>
  <c r="G332" i="5"/>
  <c r="E332" i="5"/>
  <c r="E350" i="5" l="1"/>
  <c r="E351" i="5" s="1"/>
  <c r="E366" i="5"/>
  <c r="F350" i="5"/>
  <c r="F351" i="5" s="1"/>
  <c r="F366" i="5"/>
  <c r="G350" i="5"/>
  <c r="G351" i="5" s="1"/>
  <c r="G366" i="5"/>
  <c r="D367" i="5"/>
  <c r="E367" i="5" l="1"/>
  <c r="G367" i="5"/>
  <c r="F367" i="5"/>
  <c r="E18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80" authorId="0" shapeId="0" xr:uid="{0D9FC9B2-157B-42AA-A37B-F1F550E7D5E4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Lower reference limit</t>
        </r>
      </text>
    </comment>
    <comment ref="C380" authorId="0" shapeId="0" xr:uid="{1C499431-C050-4D89-9B14-77629FA4D7CC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Upper reference limit</t>
        </r>
      </text>
    </comment>
    <comment ref="G380" authorId="0" shapeId="0" xr:uid="{DEDDEBD5-4673-4C3F-8FD6-5D78E817D8F3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Lower reference limit</t>
        </r>
      </text>
    </comment>
    <comment ref="H380" authorId="0" shapeId="0" xr:uid="{99B52820-8C7B-46D2-9442-02F7AE9D702C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Upper reference limit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80" authorId="0" shapeId="0" xr:uid="{38DA4FC3-3DD7-428D-B37A-E7AB53E6B5AA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Lower reference limit</t>
        </r>
      </text>
    </comment>
    <comment ref="C380" authorId="0" shapeId="0" xr:uid="{2B663A67-F1AF-4AF4-B9E5-59C55BD89D12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Upper reference limit</t>
        </r>
      </text>
    </comment>
    <comment ref="G380" authorId="0" shapeId="0" xr:uid="{C3CD2C59-1F01-440E-B4D8-F36F183E1A99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Lower reference limit</t>
        </r>
      </text>
    </comment>
    <comment ref="H380" authorId="0" shapeId="0" xr:uid="{3DDA058D-3B71-4A74-93EA-8D18264195A4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Upper reference limit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08CF65-F3B2-4BFC-BB27-732DBEAE1BDE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<sst xmlns="http://schemas.openxmlformats.org/spreadsheetml/2006/main" count="1826" uniqueCount="711">
  <si>
    <t>Top left cell for writing the results of the imprecision analysis.</t>
  </si>
  <si>
    <t>p-output-range</t>
  </si>
  <si>
    <t>Range of cells containing the results of the precision study. Each level must be in a separate column</t>
  </si>
  <si>
    <t>p-results-range</t>
  </si>
  <si>
    <t>Range of cells containing the runs attribute. Do not include the column header</t>
  </si>
  <si>
    <t>p-runs-range</t>
  </si>
  <si>
    <t>Range of cells containing the days attribute. Do not include the column header</t>
  </si>
  <si>
    <t>p-days-range</t>
  </si>
  <si>
    <t>Top left cell for writing data used to construct the chart. This should be some place out of the way.</t>
  </si>
  <si>
    <t>AP61</t>
  </si>
  <si>
    <t>chart-data-range</t>
  </si>
  <si>
    <t>Whether to write the regression results with labels. May by TRUE or FALSE</t>
  </si>
  <si>
    <t>output-labels</t>
  </si>
  <si>
    <t>Range of cells over which the scatter plot is placed</t>
  </si>
  <si>
    <t>N177:U190</t>
  </si>
  <si>
    <t>scatter-plot-range</t>
  </si>
  <si>
    <t>Range of cells over which the difference plot is placed</t>
  </si>
  <si>
    <t>N162:U175</t>
  </si>
  <si>
    <t>bland-altman-range</t>
  </si>
  <si>
    <t>Error ratio to be used by Deming or Weighted Deming regression</t>
  </si>
  <si>
    <t>error-ratio</t>
  </si>
  <si>
    <t>Only relevant for Deming or Weighted Deming regression. May be TRUE or FALSE</t>
  </si>
  <si>
    <t>use-calculated-error-ratio</t>
  </si>
  <si>
    <t xml:space="preserve">Method for determining confidence interval. May be default or bootstrap only. </t>
  </si>
  <si>
    <t>default</t>
  </si>
  <si>
    <t>confidence-interval-method</t>
  </si>
  <si>
    <t>Default regression method. May be paba, deming, wdeming only.</t>
  </si>
  <si>
    <t>paba</t>
  </si>
  <si>
    <t>regression-method</t>
  </si>
  <si>
    <t>Top left cell for writing the results of the regression analysis</t>
  </si>
  <si>
    <t>C167</t>
  </si>
  <si>
    <t>output-range</t>
  </si>
  <si>
    <t>Results from the comparison (new) method</t>
  </si>
  <si>
    <t>R61:S160</t>
  </si>
  <si>
    <t>y-range</t>
  </si>
  <si>
    <t>Results from the reference method</t>
  </si>
  <si>
    <t>O61:P160</t>
  </si>
  <si>
    <t>x-range</t>
  </si>
  <si>
    <t>J6</t>
  </si>
  <si>
    <t>aps-rel</t>
  </si>
  <si>
    <t>J4</t>
  </si>
  <si>
    <t>aps-abs</t>
  </si>
  <si>
    <t>Description</t>
  </si>
  <si>
    <t>Range Address</t>
  </si>
  <si>
    <t>Attribute</t>
  </si>
  <si>
    <t>umol/L</t>
  </si>
  <si>
    <t>Serum/Plasma</t>
  </si>
  <si>
    <t>Zinc</t>
  </si>
  <si>
    <t>AU</t>
  </si>
  <si>
    <t>CSF</t>
  </si>
  <si>
    <t>Xanthochromia - Haemoglobin</t>
  </si>
  <si>
    <t>Xanthochromia - Bilirubin</t>
  </si>
  <si>
    <t>mg/L</t>
  </si>
  <si>
    <t>Voriconazole</t>
  </si>
  <si>
    <t>nmol/L</t>
  </si>
  <si>
    <t>Vitamin D (25-hydroxy)</t>
  </si>
  <si>
    <t>Vitamin C</t>
  </si>
  <si>
    <t>Plasma</t>
  </si>
  <si>
    <t>Vitamin B6 (Plasma)</t>
  </si>
  <si>
    <t>Blood</t>
  </si>
  <si>
    <t>Vitamin B6 (Blood)</t>
  </si>
  <si>
    <t>Vitamin B2</t>
  </si>
  <si>
    <t>pmol/L</t>
  </si>
  <si>
    <t>Serum</t>
  </si>
  <si>
    <t>Vitamin B12</t>
  </si>
  <si>
    <t>Vitamin B1 (Plasma)</t>
  </si>
  <si>
    <t>Vitamin A (Serum)</t>
  </si>
  <si>
    <t>Vancomycin</t>
  </si>
  <si>
    <t>Valproate (mass)</t>
  </si>
  <si>
    <t>mmol/L</t>
  </si>
  <si>
    <t>Urine</t>
  </si>
  <si>
    <t>Urea (Urine)</t>
  </si>
  <si>
    <t>Urea</t>
  </si>
  <si>
    <t>Urate (Urine)</t>
  </si>
  <si>
    <t>Urate (umol/L)</t>
  </si>
  <si>
    <t>Urate (mmol/L)</t>
  </si>
  <si>
    <t>ng/L</t>
  </si>
  <si>
    <t>Troponin T (POCT)</t>
  </si>
  <si>
    <t>Troponin T (hs)</t>
  </si>
  <si>
    <t>ug/L</t>
  </si>
  <si>
    <t>Troponin I (POCT)</t>
  </si>
  <si>
    <t>Troponin I (hs)</t>
  </si>
  <si>
    <t>Triiodothyronine (total)</t>
  </si>
  <si>
    <t>Triiodothyronine (free)</t>
  </si>
  <si>
    <t>Triglycerides</t>
  </si>
  <si>
    <t>g/L</t>
  </si>
  <si>
    <t>Transferrin</t>
  </si>
  <si>
    <t>Total Iron Binding Capacity</t>
  </si>
  <si>
    <t>Tobramycin</t>
  </si>
  <si>
    <t>Thyroxine (total)</t>
  </si>
  <si>
    <t>Thyroxine (free)</t>
  </si>
  <si>
    <t>mU/L</t>
  </si>
  <si>
    <t>Thyroid Stimulating Hormone</t>
  </si>
  <si>
    <t>Thyroglobulin</t>
  </si>
  <si>
    <t>s</t>
  </si>
  <si>
    <t>Thrombin Time (Plasma)</t>
  </si>
  <si>
    <t>Theophylline (mass)</t>
  </si>
  <si>
    <t>Testosterone</t>
  </si>
  <si>
    <t>Tacrolimus (Blood)</t>
  </si>
  <si>
    <t>Soluble FMS Like Tyrosine Kinase 1</t>
  </si>
  <si>
    <t>Sodium (Urine)</t>
  </si>
  <si>
    <t>Sweat</t>
  </si>
  <si>
    <t>Sodium (Sweat)</t>
  </si>
  <si>
    <t>Sodium (Blood)</t>
  </si>
  <si>
    <t>Sodium</t>
  </si>
  <si>
    <t>Sirolimus (Blood)</t>
  </si>
  <si>
    <t>Sex Hormone Binding Globulin</t>
  </si>
  <si>
    <t>Salicylate (mass)</t>
  </si>
  <si>
    <t>IU/mL</t>
  </si>
  <si>
    <t>Rheumatoid factor</t>
  </si>
  <si>
    <t>Renin (conc)</t>
  </si>
  <si>
    <t>kU/L</t>
  </si>
  <si>
    <t>Prothrombin Time</t>
  </si>
  <si>
    <t>Protein (Urine)</t>
  </si>
  <si>
    <t>Protein (CSF)</t>
  </si>
  <si>
    <t>Protein</t>
  </si>
  <si>
    <t>Prostate Specific Antigen (Free)</t>
  </si>
  <si>
    <t>Prostate Specific Antigen</t>
  </si>
  <si>
    <t>mIU/L</t>
  </si>
  <si>
    <t>Prolactin</t>
  </si>
  <si>
    <t>Progesterone</t>
  </si>
  <si>
    <t>Procollagen type 1 N-terminal propeptide</t>
  </si>
  <si>
    <t>Procalcitonin</t>
  </si>
  <si>
    <t>Prealbumin</t>
  </si>
  <si>
    <t>Potassium (Urine)</t>
  </si>
  <si>
    <t>Potassium (Blood)</t>
  </si>
  <si>
    <t>Potassium</t>
  </si>
  <si>
    <t>Posaconazole</t>
  </si>
  <si>
    <t>Porphyrins (Urine)</t>
  </si>
  <si>
    <t>Porphyrins (Plasma)</t>
  </si>
  <si>
    <t>umol/kg</t>
  </si>
  <si>
    <t>Faeces</t>
  </si>
  <si>
    <t>Porphyrins (Faeces)</t>
  </si>
  <si>
    <t>umol/Lrc</t>
  </si>
  <si>
    <t>Porphyrins (Blood)</t>
  </si>
  <si>
    <t>Porphobilinogen (Urine)</t>
  </si>
  <si>
    <t>Phosphate (Urine)</t>
  </si>
  <si>
    <t>Phosphate</t>
  </si>
  <si>
    <t>Phenytoin (mass)</t>
  </si>
  <si>
    <t>Phenobarbitone (mass)</t>
  </si>
  <si>
    <t>-</t>
  </si>
  <si>
    <t>Body Fluid</t>
  </si>
  <si>
    <t>pH (Fluid)</t>
  </si>
  <si>
    <t>pH (Blood)</t>
  </si>
  <si>
    <t>Parathyroid Hormone (molar)</t>
  </si>
  <si>
    <t>Parathyroid Hormone (mass)</t>
  </si>
  <si>
    <t>Paracetamol (mass)</t>
  </si>
  <si>
    <t>%</t>
  </si>
  <si>
    <t>Oxyhaemoglobin (Blood)</t>
  </si>
  <si>
    <t>mmHg</t>
  </si>
  <si>
    <t>Oxygen partial pressure (Blood)</t>
  </si>
  <si>
    <t>mmol/kg</t>
  </si>
  <si>
    <t>Osmolality (Urine)</t>
  </si>
  <si>
    <t>Osmolality</t>
  </si>
  <si>
    <t>Opiates (class) (Urine)</t>
  </si>
  <si>
    <t>Oestriol</t>
  </si>
  <si>
    <t>Oestradiol</t>
  </si>
  <si>
    <t>N-terminal proBNP</t>
  </si>
  <si>
    <t>nM BCE/L</t>
  </si>
  <si>
    <t>N-telopeptide (Urine)</t>
  </si>
  <si>
    <t>Nortriptyline</t>
  </si>
  <si>
    <t>Normetanephrine (Urine)</t>
  </si>
  <si>
    <t>Normetanephrine (Plasma)</t>
  </si>
  <si>
    <t>Neuron Specific Enolase</t>
  </si>
  <si>
    <t>Mycophenolate</t>
  </si>
  <si>
    <t>Methoxytyramine (Plasma)</t>
  </si>
  <si>
    <t>Methotrexate</t>
  </si>
  <si>
    <t>Methaemoglobin (Blood)</t>
  </si>
  <si>
    <t>Methadone Metabolite</t>
  </si>
  <si>
    <t>Metanephrine (Urine)</t>
  </si>
  <si>
    <t>Metanephrine (Plasma)</t>
  </si>
  <si>
    <t>Magnesium (Urine)</t>
  </si>
  <si>
    <t>Magnesium</t>
  </si>
  <si>
    <t>IU/L</t>
  </si>
  <si>
    <t>Lithium</t>
  </si>
  <si>
    <t>Lipoprotein (a) (mass)</t>
  </si>
  <si>
    <t>U/L</t>
  </si>
  <si>
    <t>Lipase</t>
  </si>
  <si>
    <t>LDL Cholesterol</t>
  </si>
  <si>
    <t>Lactate Dehydrogenase</t>
  </si>
  <si>
    <t>Lactate (CSF)</t>
  </si>
  <si>
    <t>Lactate (Blood)</t>
  </si>
  <si>
    <t>Lactate</t>
  </si>
  <si>
    <t>Itraconazole</t>
  </si>
  <si>
    <t>Iron</t>
  </si>
  <si>
    <t>Insulin Like Growth Factor 1 (molar)</t>
  </si>
  <si>
    <t>Insulin Like Growth Factor 1 (mass)</t>
  </si>
  <si>
    <t>Insulin</t>
  </si>
  <si>
    <t>Immunoglobulin M</t>
  </si>
  <si>
    <t>Immunoglobulin G (CSF)</t>
  </si>
  <si>
    <t>Immunoglobulin G</t>
  </si>
  <si>
    <t>Immunoglobulin A</t>
  </si>
  <si>
    <t>IGF Binding Protein 3</t>
  </si>
  <si>
    <t>Hydroxyindole Acetic Acid</t>
  </si>
  <si>
    <t>Human Epididymal Protein 4</t>
  </si>
  <si>
    <t>Human Chorionic Gonadotropin</t>
  </si>
  <si>
    <t>Homovanillic Acid (Urine)</t>
  </si>
  <si>
    <t>Homocysteine</t>
  </si>
  <si>
    <t>Holotranscobalamin</t>
  </si>
  <si>
    <t>HDL Cholesterol</t>
  </si>
  <si>
    <t>HbA1c (NGSP)</t>
  </si>
  <si>
    <t>mmol/mol</t>
  </si>
  <si>
    <t>HbA1c (IFCC)</t>
  </si>
  <si>
    <t>Haptoglobin</t>
  </si>
  <si>
    <t>Haemoglobin (POCT)</t>
  </si>
  <si>
    <t>Haemoglobin (Plasma Free)</t>
  </si>
  <si>
    <t>Haematocrit (POCT)</t>
  </si>
  <si>
    <t>Growth Hormone</t>
  </si>
  <si>
    <t>Glucose (Urine)</t>
  </si>
  <si>
    <t>Glucose (CSF)</t>
  </si>
  <si>
    <t>Glucose (Blood)</t>
  </si>
  <si>
    <t>Glucose</t>
  </si>
  <si>
    <t>Gentamicin</t>
  </si>
  <si>
    <t>Gastrin</t>
  </si>
  <si>
    <t>Gamma glutamyltransferase</t>
  </si>
  <si>
    <t>Fructosamine</t>
  </si>
  <si>
    <t>Free Beta Human Chorionic Gonadotropin</t>
  </si>
  <si>
    <t>Follicle Stimulating Hormone</t>
  </si>
  <si>
    <t>Folate (Red Cell)</t>
  </si>
  <si>
    <t>Folate</t>
  </si>
  <si>
    <t>Fibrinogen</t>
  </si>
  <si>
    <t>Ferritin</t>
  </si>
  <si>
    <t>Everolimus</t>
  </si>
  <si>
    <t>Ethanol</t>
  </si>
  <si>
    <t>Dopamine (Urine)</t>
  </si>
  <si>
    <t>Dihydrotestosterone</t>
  </si>
  <si>
    <t>Digoxin (mass)</t>
  </si>
  <si>
    <t>Deoxypyridinoline crosslinks (Urine)</t>
  </si>
  <si>
    <t>Dehydroepiandrosterone Sulfate</t>
  </si>
  <si>
    <t>D-Dimer</t>
  </si>
  <si>
    <t>CTX Beta-Crosslaps</t>
  </si>
  <si>
    <t>Creatinine (Urine)</t>
  </si>
  <si>
    <t>Creatinine (enzymatic)</t>
  </si>
  <si>
    <t>Creatinine (Blood)</t>
  </si>
  <si>
    <t>Creatinine</t>
  </si>
  <si>
    <t>Creatine Kinase MB</t>
  </si>
  <si>
    <t>Creatine Kinase</t>
  </si>
  <si>
    <t>C-Reactive Protein (high sensitivity)</t>
  </si>
  <si>
    <t>C-Reactive Protein</t>
  </si>
  <si>
    <t>C-Peptide</t>
  </si>
  <si>
    <t>Cortisol (Urine)</t>
  </si>
  <si>
    <t>Cortisol</t>
  </si>
  <si>
    <t>Copper</t>
  </si>
  <si>
    <t>Conductivity</t>
  </si>
  <si>
    <t>Cocaine (class) (Urine)</t>
  </si>
  <si>
    <t>CO2 (Partial pressure)</t>
  </si>
  <si>
    <t>Ciclosporin (Blood)</t>
  </si>
  <si>
    <t>Cholinesterase</t>
  </si>
  <si>
    <t>Cholesterol</t>
  </si>
  <si>
    <t>Chloride (Urine)</t>
  </si>
  <si>
    <t>Chloride (Sweat)</t>
  </si>
  <si>
    <t>Chloride (Blood)</t>
  </si>
  <si>
    <t>Chloride</t>
  </si>
  <si>
    <t>Carcinoembryonic Antigen</t>
  </si>
  <si>
    <t>Carboxyhaemoglobin</t>
  </si>
  <si>
    <t>Carbamazepine (mass)</t>
  </si>
  <si>
    <t>Cannabinoids (class) (Urine)</t>
  </si>
  <si>
    <t>Calcium (Urine)</t>
  </si>
  <si>
    <t>Calcium (Ionised)</t>
  </si>
  <si>
    <t>Calcium</t>
  </si>
  <si>
    <t>Calcitonin</t>
  </si>
  <si>
    <t>Caeruloplasmin</t>
  </si>
  <si>
    <t>CA 19-9</t>
  </si>
  <si>
    <t>CA 15-3</t>
  </si>
  <si>
    <t>CA 125</t>
  </si>
  <si>
    <t>C4 Complement</t>
  </si>
  <si>
    <t>C3 Complement</t>
  </si>
  <si>
    <t>Brain Natriuretic Peptide</t>
  </si>
  <si>
    <t>Blood (Faeces)</t>
  </si>
  <si>
    <t>Bilirubin (Total)</t>
  </si>
  <si>
    <t>Bilirubin (Neonatal)</t>
  </si>
  <si>
    <t>Bilirubin (CSF)</t>
  </si>
  <si>
    <t>Bilirubin (Conjugated)</t>
  </si>
  <si>
    <t>Bile Acids (Total)</t>
  </si>
  <si>
    <t>Bicarbonate</t>
  </si>
  <si>
    <t>Beta Hydroxybutyrate (umol/L)</t>
  </si>
  <si>
    <t>Beta Hydroxybutyrate (mmol/L)</t>
  </si>
  <si>
    <t>Benzodiazepines (class) (Urine)</t>
  </si>
  <si>
    <t>Barbiturates (Urine)</t>
  </si>
  <si>
    <t>Aspartate aminotransferase</t>
  </si>
  <si>
    <t>Apolipoprotein B</t>
  </si>
  <si>
    <t>Apolipoprotein A1</t>
  </si>
  <si>
    <t>Ant Mullerian Hormone</t>
  </si>
  <si>
    <t>Angiotensin Converting Enzyme</t>
  </si>
  <si>
    <t>Androstenedione</t>
  </si>
  <si>
    <t>Amylase (Urine)</t>
  </si>
  <si>
    <t>Amylase</t>
  </si>
  <si>
    <t>Amphetamine (class) (Urine)</t>
  </si>
  <si>
    <t>Ammonia</t>
  </si>
  <si>
    <t>Amitriptyline</t>
  </si>
  <si>
    <t>Amiodarone</t>
  </si>
  <si>
    <t>Aminolevulinic acid</t>
  </si>
  <si>
    <t>Amikacin</t>
  </si>
  <si>
    <t>kIU/L</t>
  </si>
  <si>
    <t>Alphafetoprotein</t>
  </si>
  <si>
    <t>Alkaline Phosphatase</t>
  </si>
  <si>
    <t>Aldosterone</t>
  </si>
  <si>
    <t>Albumin (Urine)</t>
  </si>
  <si>
    <t>Albumin (CSF)</t>
  </si>
  <si>
    <t>Albumin</t>
  </si>
  <si>
    <t>Alanine aminotransferase</t>
  </si>
  <si>
    <t>Adrenocorticotropic hormone (molar)</t>
  </si>
  <si>
    <t>Adrenocorticotropic hormone (mass)</t>
  </si>
  <si>
    <t>Adrenaline (Urine)</t>
  </si>
  <si>
    <t>Adrenaline</t>
  </si>
  <si>
    <t>Activated Partial Thromboplastin Time</t>
  </si>
  <si>
    <t>Acid Phosphatase (Total)</t>
  </si>
  <si>
    <t>Acid Phosphatase (Tartrate Resistant)</t>
  </si>
  <si>
    <t>Acid Phosphatase (Prostatic)</t>
  </si>
  <si>
    <t>17-Hydroxyprogesterone</t>
  </si>
  <si>
    <t>APS Cut</t>
  </si>
  <si>
    <t>APS Absolute</t>
  </si>
  <si>
    <t>APS Relative</t>
  </si>
  <si>
    <t>Units</t>
  </si>
  <si>
    <t>Analyte Lookup</t>
  </si>
  <si>
    <t>Quality Stringency</t>
  </si>
  <si>
    <t>Yes No</t>
  </si>
  <si>
    <t>Optimal</t>
  </si>
  <si>
    <t>N</t>
  </si>
  <si>
    <t>Desirable</t>
  </si>
  <si>
    <t>Y</t>
  </si>
  <si>
    <t>Minimal</t>
  </si>
  <si>
    <t>Matrix</t>
  </si>
  <si>
    <t>Run</t>
  </si>
  <si>
    <t>Pleural fluid</t>
  </si>
  <si>
    <t>Peritoneal fluid</t>
  </si>
  <si>
    <t>Drain fluid</t>
  </si>
  <si>
    <t>Dialysate</t>
  </si>
  <si>
    <t>SUMMARY</t>
  </si>
  <si>
    <t>Assay</t>
  </si>
  <si>
    <t>Instrument/Device</t>
  </si>
  <si>
    <t>APS Cutoff</t>
  </si>
  <si>
    <t>Some manufacturer device</t>
  </si>
  <si>
    <t>Method principle</t>
  </si>
  <si>
    <t>Chemiluminescence</t>
  </si>
  <si>
    <t>IFU Insert Version</t>
  </si>
  <si>
    <t xml:space="preserve"> </t>
  </si>
  <si>
    <t>Evaluation Period</t>
  </si>
  <si>
    <t>12/11/2023</t>
  </si>
  <si>
    <t>Evaluation Completed By</t>
  </si>
  <si>
    <t>Comments and Assessment</t>
  </si>
  <si>
    <t>Decision</t>
  </si>
  <si>
    <t>Approved By</t>
  </si>
  <si>
    <t>Approval Date</t>
  </si>
  <si>
    <t>Commencement Date</t>
  </si>
  <si>
    <t>COMARISON USING PATIENT SAMPLES</t>
  </si>
  <si>
    <t>Reference Method Instrument/Device</t>
  </si>
  <si>
    <t>Reference Method Principle</t>
  </si>
  <si>
    <t>Reference Method IFU Version</t>
  </si>
  <si>
    <t>Diagnostic Cutoff for Concordance Assessment (Enter up to 4)</t>
  </si>
  <si>
    <t>Reference Thresholds</t>
  </si>
  <si>
    <t>Proposed Thresholds</t>
  </si>
  <si>
    <t>Reference Method</t>
  </si>
  <si>
    <t>Proposed Method</t>
  </si>
  <si>
    <t>Reagent Lot No.</t>
  </si>
  <si>
    <t>Calibrator Lot No.</t>
  </si>
  <si>
    <t>Concordance</t>
  </si>
  <si>
    <t>Sample ID</t>
  </si>
  <si>
    <t>Operator</t>
  </si>
  <si>
    <t>1st rep</t>
  </si>
  <si>
    <t>2nd rep</t>
  </si>
  <si>
    <t>Inclusion</t>
  </si>
  <si>
    <t>Comment</t>
  </si>
  <si>
    <t>X R1</t>
  </si>
  <si>
    <t>X R2</t>
  </si>
  <si>
    <t>Mean X</t>
  </si>
  <si>
    <t>Y R1</t>
  </si>
  <si>
    <t>Y R2</t>
  </si>
  <si>
    <t>Mean Y</t>
  </si>
  <si>
    <t>JS</t>
  </si>
  <si>
    <t>INCLUDE</t>
  </si>
  <si>
    <t>x</t>
  </si>
  <si>
    <t>y</t>
  </si>
  <si>
    <t>Pearson Correlation Coefficient (R)</t>
  </si>
  <si>
    <t>Coefficient of Determination (R^2)</t>
  </si>
  <si>
    <t>Mean</t>
  </si>
  <si>
    <t>Coefficents</t>
  </si>
  <si>
    <t>LCL</t>
  </si>
  <si>
    <t>UCL</t>
  </si>
  <si>
    <t>Slope</t>
  </si>
  <si>
    <t>Intercept</t>
  </si>
  <si>
    <t>n x n concordance table</t>
  </si>
  <si>
    <t>alpha</t>
  </si>
  <si>
    <t>TRUENESS ASSESSED USING STANDARD MATERIALS</t>
  </si>
  <si>
    <t>Trueness verification based on RCPAQAP material</t>
  </si>
  <si>
    <t>EQA Program Name</t>
  </si>
  <si>
    <t>Date of Analysis</t>
  </si>
  <si>
    <t>Operator ID</t>
  </si>
  <si>
    <t>Reagent Lot No</t>
  </si>
  <si>
    <t>Calibrator Lot No</t>
  </si>
  <si>
    <r>
      <t>ENTER</t>
    </r>
    <r>
      <rPr>
        <b/>
        <sz val="12"/>
        <rFont val="Calibri"/>
        <family val="2"/>
      </rPr>
      <t xml:space="preserve"> below  MIMIMUM of 6 and MAXIMUM of 8 levels in single or replicate values for test method</t>
    </r>
  </si>
  <si>
    <t>Calculations</t>
  </si>
  <si>
    <t>Trueness using RCPAQAP materials</t>
  </si>
  <si>
    <t>Cut-off Values  in reportable units</t>
  </si>
  <si>
    <t>Global Target</t>
  </si>
  <si>
    <t>Method Group Median</t>
  </si>
  <si>
    <t>First Replicate</t>
  </si>
  <si>
    <t>Second Replicate</t>
  </si>
  <si>
    <t>Trueness</t>
  </si>
  <si>
    <r>
      <t>sd (s</t>
    </r>
    <r>
      <rPr>
        <b/>
        <vertAlign val="subscript"/>
        <sz val="12"/>
        <rFont val="Calibri"/>
        <family val="2"/>
      </rPr>
      <t>x</t>
    </r>
    <r>
      <rPr>
        <b/>
        <sz val="12"/>
        <rFont val="Calibri"/>
        <family val="2"/>
      </rPr>
      <t>)</t>
    </r>
  </si>
  <si>
    <r>
      <t>s</t>
    </r>
    <r>
      <rPr>
        <b/>
        <vertAlign val="superscript"/>
        <sz val="12"/>
        <rFont val="Calibri"/>
        <family val="2"/>
      </rPr>
      <t>2</t>
    </r>
    <r>
      <rPr>
        <b/>
        <vertAlign val="subscript"/>
        <sz val="12"/>
        <rFont val="Calibri"/>
        <family val="2"/>
      </rPr>
      <t>x</t>
    </r>
  </si>
  <si>
    <t>Bias</t>
  </si>
  <si>
    <t>%Bias</t>
  </si>
  <si>
    <t>High cut off</t>
  </si>
  <si>
    <t>Low cut off</t>
  </si>
  <si>
    <t>n</t>
  </si>
  <si>
    <t>23-08</t>
  </si>
  <si>
    <t>23-09</t>
  </si>
  <si>
    <t>23-10</t>
  </si>
  <si>
    <t>23-11</t>
  </si>
  <si>
    <t>23-12</t>
  </si>
  <si>
    <t>23-13</t>
  </si>
  <si>
    <t>23-14</t>
  </si>
  <si>
    <t>23-15</t>
  </si>
  <si>
    <t>Method Group Median CV from EQA Program</t>
  </si>
  <si>
    <t>Number of labs in EQA Method Group</t>
  </si>
  <si>
    <t>Std Err of method (sa)</t>
  </si>
  <si>
    <t>Number of samples tested</t>
  </si>
  <si>
    <t>Number of replicates</t>
  </si>
  <si>
    <t>Trueness verification based on other reference materials</t>
  </si>
  <si>
    <t xml:space="preserve">Trueness is verified if the TEST method gives results that fall within the calculated lower and upper verification limits. </t>
  </si>
  <si>
    <t xml:space="preserve">This form of verification should be used if (1) the two methods are substantially different e.g. the test method uses a different </t>
  </si>
  <si>
    <t>analytical principle to the reference method, or (2) the manufacturer has not provided relevant bias information, or (3) an</t>
  </si>
  <si>
    <t xml:space="preserve">EQA program does not exist that can be used for trueness verification, or (4) alternative reference materials suitable for </t>
  </si>
  <si>
    <t xml:space="preserve">trueness verification are available e.g. calibrator materials from different batch numbers.  The default minimum acceptable </t>
  </si>
  <si>
    <t>imprecision is as published by RCPAQAP.</t>
  </si>
  <si>
    <t>Name of Material Tested</t>
  </si>
  <si>
    <r>
      <t>ENTER</t>
    </r>
    <r>
      <rPr>
        <b/>
        <sz val="12"/>
        <rFont val="Calibri"/>
        <family val="2"/>
      </rPr>
      <t xml:space="preserve"> below  MIMIMUM of 3 different batches of calibrators</t>
    </r>
  </si>
  <si>
    <t>ID</t>
  </si>
  <si>
    <t>Target Value</t>
  </si>
  <si>
    <t>Third Replicate</t>
  </si>
  <si>
    <t>Strict</t>
  </si>
  <si>
    <t>t-test</t>
  </si>
  <si>
    <t>SE</t>
  </si>
  <si>
    <t>Abs Bias</t>
  </si>
  <si>
    <t>Bias CI Lower</t>
  </si>
  <si>
    <t>Bias CI Upper</t>
  </si>
  <si>
    <t>Max Bias</t>
  </si>
  <si>
    <t>Allowable bias</t>
  </si>
  <si>
    <t>Alpha</t>
  </si>
  <si>
    <t>PRECISION</t>
  </si>
  <si>
    <t>Material Used</t>
  </si>
  <si>
    <t>Material Lot No.</t>
  </si>
  <si>
    <r>
      <t>ENTER</t>
    </r>
    <r>
      <rPr>
        <b/>
        <sz val="12"/>
        <rFont val="Calibri"/>
        <family val="2"/>
      </rPr>
      <t xml:space="preserve"> </t>
    </r>
    <r>
      <rPr>
        <b/>
        <u/>
        <sz val="12"/>
        <rFont val="Calibri"/>
        <family val="2"/>
      </rPr>
      <t>up to 5 values</t>
    </r>
    <r>
      <rPr>
        <b/>
        <sz val="12"/>
        <rFont val="Calibri"/>
        <family val="2"/>
      </rPr>
      <t xml:space="preserve"> per day for each level</t>
    </r>
  </si>
  <si>
    <t>Day</t>
  </si>
  <si>
    <t>Level 1</t>
  </si>
  <si>
    <t>Level 2</t>
  </si>
  <si>
    <t>Level 3</t>
  </si>
  <si>
    <t>Level 4</t>
  </si>
  <si>
    <t>Day 1</t>
  </si>
  <si>
    <t>Run 1</t>
  </si>
  <si>
    <t>Day 2</t>
  </si>
  <si>
    <t>Day 3</t>
  </si>
  <si>
    <t>Day 4</t>
  </si>
  <si>
    <t>Day 5</t>
  </si>
  <si>
    <t>Repeatability</t>
  </si>
  <si>
    <t>Between day</t>
  </si>
  <si>
    <t>Within lab</t>
  </si>
  <si>
    <t>Repeatability CV</t>
  </si>
  <si>
    <t>Between day CV</t>
  </si>
  <si>
    <t>Within lab CV</t>
  </si>
  <si>
    <t>Claimed Imprecision</t>
  </si>
  <si>
    <t>Upper Verification Limits</t>
  </si>
  <si>
    <t>Repeatability UVL</t>
  </si>
  <si>
    <t>Within lab UVL</t>
  </si>
  <si>
    <t>Comparison to Claim</t>
  </si>
  <si>
    <t>Within Lab Precision</t>
  </si>
  <si>
    <t>Assay Capability</t>
  </si>
  <si>
    <t>RCPA APS</t>
  </si>
  <si>
    <t>Capability (σ)</t>
  </si>
  <si>
    <t>Acceptability</t>
  </si>
  <si>
    <t>Comparison to Biological Variation APS</t>
  </si>
  <si>
    <t xml:space="preserve">CVi </t>
  </si>
  <si>
    <t>Specification</t>
  </si>
  <si>
    <t xml:space="preserve">CVg </t>
  </si>
  <si>
    <t>Imprecision</t>
  </si>
  <si>
    <t>Required Category</t>
  </si>
  <si>
    <t>Total Error</t>
  </si>
  <si>
    <t>Imprecision Verification Result</t>
  </si>
  <si>
    <t>REFERENCE INTERVALS</t>
  </si>
  <si>
    <t>Reference Intervals that will be used</t>
  </si>
  <si>
    <t>Reference Interval Verification</t>
  </si>
  <si>
    <t>LRL</t>
  </si>
  <si>
    <t>URL</t>
  </si>
  <si>
    <t>Result</t>
  </si>
  <si>
    <t>Test 1</t>
  </si>
  <si>
    <t>T1</t>
  </si>
  <si>
    <t>Test 2</t>
  </si>
  <si>
    <t>T2</t>
  </si>
  <si>
    <t>Test 3</t>
  </si>
  <si>
    <t>T3</t>
  </si>
  <si>
    <t>Test 4</t>
  </si>
  <si>
    <t>T4</t>
  </si>
  <si>
    <t>Test 5</t>
  </si>
  <si>
    <t>T5</t>
  </si>
  <si>
    <t>Test 6</t>
  </si>
  <si>
    <t>T6</t>
  </si>
  <si>
    <t>Test 7</t>
  </si>
  <si>
    <t>T7</t>
  </si>
  <si>
    <t>Test 8</t>
  </si>
  <si>
    <t>T8</t>
  </si>
  <si>
    <t>Test 9</t>
  </si>
  <si>
    <t>T9</t>
  </si>
  <si>
    <t>Test 10</t>
  </si>
  <si>
    <t>T10</t>
  </si>
  <si>
    <t>Test 11</t>
  </si>
  <si>
    <t>T11</t>
  </si>
  <si>
    <t>Test 12</t>
  </si>
  <si>
    <t>T12</t>
  </si>
  <si>
    <t>Test 13</t>
  </si>
  <si>
    <t>T13</t>
  </si>
  <si>
    <t>Test 14</t>
  </si>
  <si>
    <t>T14</t>
  </si>
  <si>
    <t>Test 15</t>
  </si>
  <si>
    <t>T15</t>
  </si>
  <si>
    <t>Test 16</t>
  </si>
  <si>
    <t>T16</t>
  </si>
  <si>
    <t>Test 17</t>
  </si>
  <si>
    <t>T17</t>
  </si>
  <si>
    <t>Test 18</t>
  </si>
  <si>
    <t>T18</t>
  </si>
  <si>
    <t>Test 19</t>
  </si>
  <si>
    <t>T19</t>
  </si>
  <si>
    <t>Test 20</t>
  </si>
  <si>
    <t>T20</t>
  </si>
  <si>
    <t>Test 21</t>
  </si>
  <si>
    <t>T21</t>
  </si>
  <si>
    <t>Test 22</t>
  </si>
  <si>
    <t>T22</t>
  </si>
  <si>
    <t>Test 23</t>
  </si>
  <si>
    <t>T23</t>
  </si>
  <si>
    <t>Test 24</t>
  </si>
  <si>
    <t>T24</t>
  </si>
  <si>
    <t>Test 25</t>
  </si>
  <si>
    <t>T25</t>
  </si>
  <si>
    <t>Test 26</t>
  </si>
  <si>
    <t>T26</t>
  </si>
  <si>
    <t>Test 27</t>
  </si>
  <si>
    <t>T27</t>
  </si>
  <si>
    <t>Test 28</t>
  </si>
  <si>
    <t>T28</t>
  </si>
  <si>
    <t>Test 29</t>
  </si>
  <si>
    <t>T29</t>
  </si>
  <si>
    <t>Test 30</t>
  </si>
  <si>
    <t>T30</t>
  </si>
  <si>
    <t>Test 31</t>
  </si>
  <si>
    <t>T31</t>
  </si>
  <si>
    <t>Test 32</t>
  </si>
  <si>
    <t>T32</t>
  </si>
  <si>
    <t>Test 33</t>
  </si>
  <si>
    <t>T33</t>
  </si>
  <si>
    <t>Test 34</t>
  </si>
  <si>
    <t>T34</t>
  </si>
  <si>
    <t>Test 35</t>
  </si>
  <si>
    <t>T35</t>
  </si>
  <si>
    <t>Test 36</t>
  </si>
  <si>
    <t>T36</t>
  </si>
  <si>
    <t>Test 37</t>
  </si>
  <si>
    <t>T37</t>
  </si>
  <si>
    <t>Test 38</t>
  </si>
  <si>
    <t>T38</t>
  </si>
  <si>
    <t>Test 39</t>
  </si>
  <si>
    <t>T39</t>
  </si>
  <si>
    <t>Test 40</t>
  </si>
  <si>
    <t>T40</t>
  </si>
  <si>
    <t>Reference interval verification</t>
  </si>
  <si>
    <t>Outliers</t>
  </si>
  <si>
    <t>p</t>
  </si>
  <si>
    <t>LIMIT OF BLANK, DETECTION, QUANTITATION</t>
  </si>
  <si>
    <t>Date of analysis</t>
  </si>
  <si>
    <t>Limit of Blank (LoB)</t>
  </si>
  <si>
    <r>
      <t>ENTER</t>
    </r>
    <r>
      <rPr>
        <b/>
        <sz val="12"/>
        <rFont val="Calibri"/>
        <family val="2"/>
      </rPr>
      <t xml:space="preserve"> the LoB claim</t>
    </r>
  </si>
  <si>
    <r>
      <t>ENTER</t>
    </r>
    <r>
      <rPr>
        <b/>
        <sz val="12"/>
        <rFont val="Calibri"/>
        <family val="2"/>
      </rPr>
      <t xml:space="preserve"> min of 2 replicates, of min 2 blank samples, of min 3 days, for min of 20 values</t>
    </r>
  </si>
  <si>
    <t>Bounds for observed proportion of results relative to a detection capability claim</t>
  </si>
  <si>
    <t>Values ≤ LoB claim</t>
  </si>
  <si>
    <t>Date</t>
  </si>
  <si>
    <t>Sample 1</t>
  </si>
  <si>
    <t>Sample 2</t>
  </si>
  <si>
    <t>Sample 3</t>
  </si>
  <si>
    <t>Total number of measurements (n)</t>
  </si>
  <si>
    <t xml:space="preserve">% Observed proportion boundary </t>
  </si>
  <si>
    <t>n &lt;= LoB claim</t>
  </si>
  <si>
    <t>% n&lt;= LoB claim</t>
  </si>
  <si>
    <t>Total number of values</t>
  </si>
  <si>
    <t>Min Req</t>
  </si>
  <si>
    <t>mean of blank</t>
  </si>
  <si>
    <t>% Min Req</t>
  </si>
  <si>
    <t>SD of blank</t>
  </si>
  <si>
    <t>Limit of blank (LoB)</t>
  </si>
  <si>
    <t>C_beta</t>
  </si>
  <si>
    <t>Limit of Detection (LoD)</t>
  </si>
  <si>
    <r>
      <t>ENTER</t>
    </r>
    <r>
      <rPr>
        <b/>
        <sz val="12"/>
        <rFont val="Calibri"/>
        <family val="2"/>
      </rPr>
      <t xml:space="preserve"> the LoD claim</t>
    </r>
  </si>
  <si>
    <t>Values ≥ LoB claim</t>
  </si>
  <si>
    <t>ENTER min of 2 replicates, of min 2 LoD claim samples, of min 3 days, for min of 20 values</t>
  </si>
  <si>
    <t>Selected samples should have a concentration at the claimed LoD</t>
  </si>
  <si>
    <t>n &gt;=LoB claim</t>
  </si>
  <si>
    <t>% n &gt;= LoB claim</t>
  </si>
  <si>
    <t>Sample SD</t>
  </si>
  <si>
    <t>Pooled SD</t>
  </si>
  <si>
    <t>Limit of Detection</t>
  </si>
  <si>
    <t>Limit of Quantitaion (LoQ)</t>
  </si>
  <si>
    <r>
      <t>Enter</t>
    </r>
    <r>
      <rPr>
        <b/>
        <sz val="12"/>
        <rFont val="Calibri"/>
        <family val="2"/>
      </rPr>
      <t xml:space="preserve"> the LoQ claim</t>
    </r>
  </si>
  <si>
    <t>ENTER min of 2 replicates, of min 2 LoQ claim samples, of min 3 days, for min of 20 values</t>
  </si>
  <si>
    <t>% difference from means</t>
  </si>
  <si>
    <t xml:space="preserve">Day </t>
  </si>
  <si>
    <t>Values &lt; TEa</t>
  </si>
  <si>
    <t>% difference calculations</t>
  </si>
  <si>
    <t>Sample mean</t>
  </si>
  <si>
    <t>n &gt;= TEa</t>
  </si>
  <si>
    <t>% n &gt;= TEa</t>
  </si>
  <si>
    <t>Sample CV</t>
  </si>
  <si>
    <t>Total number of samples</t>
  </si>
  <si>
    <t>Grand Mean</t>
  </si>
  <si>
    <t>TEa</t>
  </si>
  <si>
    <t>import-aps</t>
  </si>
  <si>
    <t>Import APS values from spreadsheet</t>
  </si>
  <si>
    <t>Absolute APS specification or cell address</t>
  </si>
  <si>
    <t>Relative APS specification or cell address</t>
  </si>
  <si>
    <t>concordance-output</t>
  </si>
  <si>
    <t>C176</t>
  </si>
  <si>
    <t>Top left cell for writing the results of the concordance analysis</t>
  </si>
  <si>
    <t>Passing-Bablock Regression</t>
  </si>
  <si>
    <t>Overall Agreement</t>
  </si>
  <si>
    <t>Expected Agreement</t>
  </si>
  <si>
    <t>Kappa</t>
  </si>
  <si>
    <t>SE(Kappa)</t>
  </si>
  <si>
    <t>X</t>
  </si>
  <si>
    <t>Relative Difference</t>
  </si>
  <si>
    <t>W299</t>
  </si>
  <si>
    <t>B300:B324</t>
  </si>
  <si>
    <t>C300:C324</t>
  </si>
  <si>
    <t>D300:G324</t>
  </si>
  <si>
    <t>SS Total</t>
  </si>
  <si>
    <t>SST</t>
  </si>
  <si>
    <t>SSE</t>
  </si>
  <si>
    <t>DF Total</t>
  </si>
  <si>
    <t>DF Error</t>
  </si>
  <si>
    <t>DF T</t>
  </si>
  <si>
    <t>MST</t>
  </si>
  <si>
    <t>MSE</t>
  </si>
  <si>
    <t>F</t>
  </si>
  <si>
    <t>P</t>
  </si>
  <si>
    <t>Sum GrpN2</t>
  </si>
  <si>
    <t>Var Error</t>
  </si>
  <si>
    <t>Var B</t>
  </si>
  <si>
    <t>SD Error</t>
  </si>
  <si>
    <t>CV Error</t>
  </si>
  <si>
    <t>SD B</t>
  </si>
  <si>
    <t>CV B</t>
  </si>
  <si>
    <t>SD WL</t>
  </si>
  <si>
    <t>CV WL</t>
  </si>
  <si>
    <t>DF WL</t>
  </si>
  <si>
    <t>ChiSq E</t>
  </si>
  <si>
    <t>ChiSq WL</t>
  </si>
  <si>
    <t>F Error</t>
  </si>
  <si>
    <t>F WL</t>
  </si>
  <si>
    <t>Version</t>
  </si>
  <si>
    <t>Comments</t>
  </si>
  <si>
    <t>0.0.0.1</t>
  </si>
  <si>
    <t>Initial draft</t>
  </si>
  <si>
    <t>qx-range</t>
  </si>
  <si>
    <t>qy-range</t>
  </si>
  <si>
    <t>q-output-range</t>
  </si>
  <si>
    <t>Qualitative results from the reference method</t>
  </si>
  <si>
    <t>Qualitative results from the comparison (new) method</t>
  </si>
  <si>
    <t>E61:E160</t>
  </si>
  <si>
    <t>H61:H160</t>
  </si>
  <si>
    <t>Procedure</t>
  </si>
  <si>
    <t>Sample</t>
  </si>
  <si>
    <t>CVI</t>
  </si>
  <si>
    <t>CVG</t>
  </si>
  <si>
    <t>APS Abs</t>
  </si>
  <si>
    <t>APS Rel</t>
  </si>
  <si>
    <t>Half Life</t>
  </si>
  <si>
    <t>Dose Interval</t>
  </si>
  <si>
    <t>3-Methoxytyramine (Urine)</t>
  </si>
  <si>
    <t>5-Hydroxyindoleacetic acid (Urine)</t>
  </si>
  <si>
    <t>Ammonia (Urine)</t>
  </si>
  <si>
    <t>Fibroblast Growth Factor 23</t>
  </si>
  <si>
    <t>Fluconazole</t>
  </si>
  <si>
    <t>Flucytosine</t>
  </si>
  <si>
    <t>Hydroxyitraconazole</t>
  </si>
  <si>
    <t>Hydroxymethyl mandelic acid (Urine)</t>
  </si>
  <si>
    <t>Noradrenaline (Urine)</t>
  </si>
  <si>
    <t>Serotonin (Urine)</t>
  </si>
  <si>
    <t>Thyrotropin Receptor Antibodies</t>
  </si>
  <si>
    <t>Albumin (Fluid)</t>
  </si>
  <si>
    <t>Amylase (Fluid)</t>
  </si>
  <si>
    <t>CA 19-9 (Fluid)</t>
  </si>
  <si>
    <t>Carcinoembryonic Antigen (Fluid)</t>
  </si>
  <si>
    <t>Cholesterol (fluid)</t>
  </si>
  <si>
    <t>Creatinine (Fluid)</t>
  </si>
  <si>
    <t>Glucose (Fluid)</t>
  </si>
  <si>
    <t>Lactate (Fluid)</t>
  </si>
  <si>
    <t>Lactate Dehydrogenase (Fluid)</t>
  </si>
  <si>
    <t>Lipase (Fluid)</t>
  </si>
  <si>
    <t>Osmolality (Fluid)</t>
  </si>
  <si>
    <t>Potassium (Fluid)</t>
  </si>
  <si>
    <t>Protein (Fluid)</t>
  </si>
  <si>
    <t>Sodium (Fluid)</t>
  </si>
  <si>
    <t>Triglycerides (Fluid)</t>
  </si>
  <si>
    <t>Urate (Fluid)</t>
  </si>
  <si>
    <t>Urea (Fluid)</t>
  </si>
  <si>
    <t>Alpha-1-antitrypsin</t>
  </si>
  <si>
    <t>Beta-2-Microglobulin</t>
  </si>
  <si>
    <t>C1 esterase inhibitor</t>
  </si>
  <si>
    <t>IGF Binding Protein 3 (molar)</t>
  </si>
  <si>
    <t>Luteinising Hormone</t>
  </si>
  <si>
    <t>EXCLUDE</t>
  </si>
  <si>
    <t>User Guide</t>
  </si>
  <si>
    <t>Non-parametric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</si>
</sst>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m/d/yyyy"/>
    <numFmt numFmtId="167" formatCode="d/m/yyyy"/>
    <numFmt numFmtId="168" formatCode="0.000"/>
    <numFmt numFmtId="169" formatCode="0.0000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2"/>
      <color theme="0" tint="-4.9989318521683403E-2"/>
      <name val="Calibri"/>
      <family val="2"/>
    </font>
    <font>
      <sz val="12"/>
      <color theme="0" tint="-4.9989318521683403E-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u/>
      <sz val="10"/>
      <color theme="10"/>
      <name val="Arial"/>
      <family val="2"/>
      <charset val="1"/>
    </font>
    <font>
      <b/>
      <u/>
      <sz val="12"/>
      <name val="Calibri"/>
      <family val="2"/>
    </font>
    <font>
      <b/>
      <sz val="12"/>
      <color theme="3" tint="0.39997558519241921"/>
      <name val="Calibri"/>
      <family val="2"/>
    </font>
    <font>
      <b/>
      <vertAlign val="subscript"/>
      <sz val="12"/>
      <name val="Calibri"/>
      <family val="2"/>
    </font>
    <font>
      <b/>
      <vertAlign val="superscript"/>
      <sz val="12"/>
      <name val="Calibri"/>
      <family val="2"/>
    </font>
    <font>
      <sz val="10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rgb="FFEBF1DE"/>
      </patternFill>
    </fill>
    <fill>
      <patternFill patternType="solid">
        <fgColor rgb="FFF9FFF9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7" fillId="0" borderId="0"/>
    <xf numFmtId="9" fontId="1" fillId="0" borderId="0" applyBorder="0" applyProtection="0"/>
    <xf numFmtId="0" fontId="8" fillId="0" borderId="0" applyBorder="0" applyProtection="0"/>
    <xf numFmtId="0" fontId="7" fillId="0" borderId="0"/>
    <xf numFmtId="0" fontId="1" fillId="4" borderId="1" applyProtection="0"/>
    <xf numFmtId="0" fontId="2" fillId="0" borderId="0"/>
    <xf numFmtId="0" fontId="14" fillId="0" borderId="0" applyNumberFormat="0" applyFill="0" applyBorder="0" applyAlignment="0" applyProtection="0"/>
  </cellStyleXfs>
  <cellXfs count="276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1" fillId="0" borderId="0" xfId="1"/>
    <xf numFmtId="0" fontId="2" fillId="0" borderId="0" xfId="1" applyFont="1"/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/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5" fillId="0" borderId="2" xfId="6" applyFont="1" applyFill="1" applyBorder="1" applyAlignment="1" applyProtection="1">
      <alignment horizontal="center" vertical="center"/>
      <protection locked="0"/>
    </xf>
    <xf numFmtId="0" fontId="3" fillId="2" borderId="0" xfId="4" applyFont="1" applyFill="1" applyBorder="1" applyAlignment="1" applyProtection="1">
      <alignment vertical="center"/>
    </xf>
    <xf numFmtId="14" fontId="1" fillId="0" borderId="0" xfId="1" applyNumberFormat="1"/>
    <xf numFmtId="0" fontId="4" fillId="5" borderId="0" xfId="1" applyFont="1" applyFill="1"/>
    <xf numFmtId="0" fontId="5" fillId="5" borderId="0" xfId="1" applyFont="1" applyFill="1"/>
    <xf numFmtId="0" fontId="6" fillId="5" borderId="0" xfId="1" applyFont="1" applyFill="1"/>
    <xf numFmtId="0" fontId="6" fillId="5" borderId="0" xfId="1" applyFont="1" applyFill="1" applyAlignment="1">
      <alignment horizontal="left"/>
    </xf>
    <xf numFmtId="0" fontId="5" fillId="5" borderId="0" xfId="2" applyFont="1" applyFill="1"/>
    <xf numFmtId="0" fontId="6" fillId="5" borderId="0" xfId="2" applyFont="1" applyFill="1" applyAlignment="1">
      <alignment horizontal="left"/>
    </xf>
    <xf numFmtId="0" fontId="6" fillId="5" borderId="0" xfId="1" applyFont="1" applyFill="1" applyAlignment="1">
      <alignment horizontal="righ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0" xfId="2" applyFont="1" applyFill="1" applyAlignment="1">
      <alignment horizontal="right"/>
    </xf>
    <xf numFmtId="0" fontId="5" fillId="5" borderId="2" xfId="2" applyFont="1" applyFill="1" applyBorder="1" applyAlignment="1">
      <alignment vertical="center"/>
    </xf>
    <xf numFmtId="0" fontId="5" fillId="5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/>
    </xf>
    <xf numFmtId="0" fontId="5" fillId="5" borderId="0" xfId="1" applyFont="1" applyFill="1" applyAlignment="1" applyProtection="1">
      <alignment horizontal="left" vertical="center"/>
      <protection locked="0"/>
    </xf>
    <xf numFmtId="165" fontId="5" fillId="5" borderId="2" xfId="3" applyNumberFormat="1" applyFont="1" applyFill="1" applyBorder="1" applyAlignment="1" applyProtection="1">
      <alignment vertical="center"/>
    </xf>
    <xf numFmtId="0" fontId="6" fillId="5" borderId="0" xfId="1" applyFont="1" applyFill="1" applyAlignment="1">
      <alignment horizontal="center" vertical="center"/>
    </xf>
    <xf numFmtId="0" fontId="5" fillId="5" borderId="0" xfId="1" applyFont="1" applyFill="1" applyAlignment="1">
      <alignment vertical="center"/>
    </xf>
    <xf numFmtId="1" fontId="5" fillId="5" borderId="0" xfId="1" applyNumberFormat="1" applyFont="1" applyFill="1"/>
    <xf numFmtId="49" fontId="6" fillId="5" borderId="0" xfId="2" applyNumberFormat="1" applyFont="1" applyFill="1" applyAlignment="1" applyProtection="1">
      <alignment horizontal="left"/>
      <protection locked="0"/>
    </xf>
    <xf numFmtId="49" fontId="5" fillId="5" borderId="0" xfId="2" applyNumberFormat="1" applyFont="1" applyFill="1" applyAlignment="1" applyProtection="1">
      <alignment vertical="center" wrapText="1"/>
      <protection locked="0"/>
    </xf>
    <xf numFmtId="0" fontId="5" fillId="5" borderId="0" xfId="1" applyFont="1" applyFill="1" applyAlignment="1">
      <alignment horizontal="left"/>
    </xf>
    <xf numFmtId="0" fontId="5" fillId="5" borderId="0" xfId="1" applyFont="1" applyFill="1" applyAlignment="1">
      <alignment horizontal="right" vertical="top"/>
    </xf>
    <xf numFmtId="0" fontId="6" fillId="5" borderId="0" xfId="1" applyFont="1" applyFill="1" applyAlignment="1" applyProtection="1">
      <alignment horizontal="left" vertical="center"/>
      <protection locked="0"/>
    </xf>
    <xf numFmtId="0" fontId="6" fillId="5" borderId="0" xfId="1" applyFont="1" applyFill="1" applyAlignment="1">
      <alignment vertical="center"/>
    </xf>
    <xf numFmtId="0" fontId="6" fillId="5" borderId="0" xfId="4" applyFont="1" applyFill="1" applyBorder="1" applyAlignment="1" applyProtection="1">
      <alignment vertical="center"/>
    </xf>
    <xf numFmtId="1" fontId="5" fillId="5" borderId="0" xfId="1" applyNumberFormat="1" applyFont="1" applyFill="1" applyAlignment="1">
      <alignment horizontal="center"/>
    </xf>
    <xf numFmtId="2" fontId="5" fillId="5" borderId="0" xfId="1" applyNumberFormat="1" applyFont="1" applyFill="1" applyAlignment="1">
      <alignment horizontal="center"/>
    </xf>
    <xf numFmtId="0" fontId="9" fillId="5" borderId="0" xfId="1" applyFont="1" applyFill="1" applyAlignment="1">
      <alignment horizontal="right" vertical="center"/>
    </xf>
    <xf numFmtId="0" fontId="5" fillId="5" borderId="0" xfId="1" applyFont="1" applyFill="1" applyAlignment="1">
      <alignment horizontal="left" vertical="top"/>
    </xf>
    <xf numFmtId="0" fontId="5" fillId="5" borderId="0" xfId="1" applyFont="1" applyFill="1" applyAlignment="1" applyProtection="1">
      <alignment horizontal="justify" vertical="center"/>
      <protection locked="0"/>
    </xf>
    <xf numFmtId="0" fontId="6" fillId="5" borderId="0" xfId="1" applyFont="1" applyFill="1" applyAlignment="1" applyProtection="1">
      <alignment horizontal="justify" vertical="center"/>
      <protection locked="0"/>
    </xf>
    <xf numFmtId="0" fontId="6" fillId="5" borderId="0" xfId="1" applyFont="1" applyFill="1" applyAlignment="1">
      <alignment horizontal="left" vertical="top"/>
    </xf>
    <xf numFmtId="166" fontId="5" fillId="5" borderId="0" xfId="1" applyNumberFormat="1" applyFont="1" applyFill="1" applyAlignment="1" applyProtection="1">
      <alignment vertical="center"/>
      <protection locked="0"/>
    </xf>
    <xf numFmtId="0" fontId="5" fillId="5" borderId="0" xfId="1" applyFont="1" applyFill="1" applyAlignment="1">
      <alignment horizontal="right"/>
    </xf>
    <xf numFmtId="2" fontId="5" fillId="5" borderId="0" xfId="3" applyNumberFormat="1" applyFont="1" applyFill="1" applyBorder="1" applyAlignment="1" applyProtection="1">
      <alignment horizontal="center" vertical="center"/>
    </xf>
    <xf numFmtId="0" fontId="3" fillId="5" borderId="0" xfId="1" applyFont="1" applyFill="1" applyAlignment="1">
      <alignment vertical="center"/>
    </xf>
    <xf numFmtId="0" fontId="4" fillId="5" borderId="0" xfId="1" applyFont="1" applyFill="1" applyAlignment="1">
      <alignment vertical="center"/>
    </xf>
    <xf numFmtId="0" fontId="6" fillId="5" borderId="9" xfId="1" applyFont="1" applyFill="1" applyBorder="1" applyAlignment="1">
      <alignment vertical="center"/>
    </xf>
    <xf numFmtId="0" fontId="6" fillId="5" borderId="0" xfId="2" applyFont="1" applyFill="1" applyAlignment="1">
      <alignment horizontal="left" vertical="center"/>
    </xf>
    <xf numFmtId="0" fontId="5" fillId="5" borderId="0" xfId="2" applyFont="1" applyFill="1" applyAlignment="1">
      <alignment horizontal="left" vertical="center"/>
    </xf>
    <xf numFmtId="0" fontId="6" fillId="5" borderId="14" xfId="2" applyFont="1" applyFill="1" applyBorder="1" applyAlignment="1">
      <alignment horizontal="left" vertical="center"/>
    </xf>
    <xf numFmtId="0" fontId="5" fillId="5" borderId="14" xfId="2" applyFont="1" applyFill="1" applyBorder="1" applyAlignment="1">
      <alignment horizontal="left" vertical="center"/>
    </xf>
    <xf numFmtId="0" fontId="5" fillId="5" borderId="9" xfId="2" applyFont="1" applyFill="1" applyBorder="1" applyAlignment="1">
      <alignment horizontal="left" vertical="center"/>
    </xf>
    <xf numFmtId="0" fontId="6" fillId="5" borderId="9" xfId="1" applyFont="1" applyFill="1" applyBorder="1" applyAlignment="1">
      <alignment horizontal="right" vertical="center"/>
    </xf>
    <xf numFmtId="49" fontId="5" fillId="5" borderId="0" xfId="5" applyNumberFormat="1" applyFont="1" applyFill="1" applyAlignment="1">
      <alignment vertical="center" wrapText="1"/>
    </xf>
    <xf numFmtId="0" fontId="6" fillId="5" borderId="0" xfId="2" applyFont="1" applyFill="1" applyAlignment="1" applyProtection="1">
      <alignment vertical="center"/>
      <protection locked="0"/>
    </xf>
    <xf numFmtId="0" fontId="6" fillId="5" borderId="0" xfId="2" applyFont="1" applyFill="1"/>
    <xf numFmtId="0" fontId="6" fillId="5" borderId="0" xfId="2" applyFont="1" applyFill="1" applyAlignment="1">
      <alignment horizontal="right"/>
    </xf>
    <xf numFmtId="2" fontId="5" fillId="5" borderId="0" xfId="2" applyNumberFormat="1" applyFont="1" applyFill="1" applyAlignment="1" applyProtection="1">
      <alignment horizontal="left" vertical="center"/>
      <protection locked="0"/>
    </xf>
    <xf numFmtId="2" fontId="5" fillId="5" borderId="0" xfId="2" applyNumberFormat="1" applyFont="1" applyFill="1" applyAlignment="1" applyProtection="1">
      <alignment horizontal="right" vertical="center"/>
      <protection locked="0"/>
    </xf>
    <xf numFmtId="2" fontId="5" fillId="5" borderId="0" xfId="2" applyNumberFormat="1" applyFont="1" applyFill="1" applyAlignment="1">
      <alignment horizontal="left" vertical="center"/>
    </xf>
    <xf numFmtId="0" fontId="6" fillId="5" borderId="2" xfId="1" applyFont="1" applyFill="1" applyBorder="1" applyAlignment="1">
      <alignment horizontal="center"/>
    </xf>
    <xf numFmtId="0" fontId="6" fillId="5" borderId="0" xfId="1" applyFont="1" applyFill="1" applyAlignment="1">
      <alignment horizontal="right"/>
    </xf>
    <xf numFmtId="0" fontId="6" fillId="5" borderId="2" xfId="1" applyFont="1" applyFill="1" applyBorder="1" applyAlignment="1">
      <alignment horizontal="center" vertical="center"/>
    </xf>
    <xf numFmtId="0" fontId="6" fillId="5" borderId="2" xfId="1" applyFont="1" applyFill="1" applyBorder="1" applyAlignment="1" applyProtection="1">
      <alignment horizontal="center" vertical="center"/>
      <protection locked="0"/>
    </xf>
    <xf numFmtId="0" fontId="6" fillId="5" borderId="2" xfId="1" applyFont="1" applyFill="1" applyBorder="1" applyAlignment="1" applyProtection="1">
      <alignment horizontal="center"/>
      <protection locked="0"/>
    </xf>
    <xf numFmtId="0" fontId="5" fillId="5" borderId="13" xfId="1" applyFont="1" applyFill="1" applyBorder="1"/>
    <xf numFmtId="0" fontId="5" fillId="5" borderId="16" xfId="1" applyFont="1" applyFill="1" applyBorder="1"/>
    <xf numFmtId="168" fontId="5" fillId="5" borderId="3" xfId="1" applyNumberFormat="1" applyFont="1" applyFill="1" applyBorder="1" applyAlignment="1" applyProtection="1">
      <alignment horizontal="center" vertical="center"/>
      <protection locked="0"/>
    </xf>
    <xf numFmtId="0" fontId="5" fillId="5" borderId="4" xfId="1" applyFont="1" applyFill="1" applyBorder="1"/>
    <xf numFmtId="0" fontId="5" fillId="5" borderId="2" xfId="1" applyFont="1" applyFill="1" applyBorder="1"/>
    <xf numFmtId="168" fontId="5" fillId="5" borderId="0" xfId="1" applyNumberFormat="1" applyFont="1" applyFill="1"/>
    <xf numFmtId="0" fontId="5" fillId="5" borderId="8" xfId="1" applyFont="1" applyFill="1" applyBorder="1"/>
    <xf numFmtId="0" fontId="5" fillId="5" borderId="15" xfId="1" applyFont="1" applyFill="1" applyBorder="1"/>
    <xf numFmtId="10" fontId="5" fillId="5" borderId="0" xfId="1" applyNumberFormat="1" applyFont="1" applyFill="1"/>
    <xf numFmtId="0" fontId="5" fillId="5" borderId="2" xfId="1" applyFont="1" applyFill="1" applyBorder="1" applyAlignment="1">
      <alignment horizontal="center"/>
    </xf>
    <xf numFmtId="0" fontId="6" fillId="5" borderId="9" xfId="1" applyFont="1" applyFill="1" applyBorder="1" applyAlignment="1">
      <alignment horizontal="right"/>
    </xf>
    <xf numFmtId="168" fontId="5" fillId="5" borderId="2" xfId="1" applyNumberFormat="1" applyFont="1" applyFill="1" applyBorder="1"/>
    <xf numFmtId="0" fontId="6" fillId="5" borderId="0" xfId="1" applyFont="1" applyFill="1" applyAlignment="1">
      <alignment vertical="center" wrapText="1"/>
    </xf>
    <xf numFmtId="0" fontId="5" fillId="5" borderId="0" xfId="1" applyFont="1" applyFill="1" applyAlignment="1" applyProtection="1">
      <alignment vertical="center" wrapText="1"/>
      <protection locked="0"/>
    </xf>
    <xf numFmtId="0" fontId="6" fillId="5" borderId="0" xfId="1" applyFont="1" applyFill="1" applyAlignment="1">
      <alignment horizontal="center"/>
    </xf>
    <xf numFmtId="169" fontId="5" fillId="5" borderId="0" xfId="1" applyNumberFormat="1" applyFont="1" applyFill="1"/>
    <xf numFmtId="0" fontId="10" fillId="5" borderId="0" xfId="1" applyFont="1" applyFill="1" applyAlignment="1">
      <alignment horizontal="left"/>
    </xf>
    <xf numFmtId="0" fontId="3" fillId="5" borderId="0" xfId="1" applyFont="1" applyFill="1" applyAlignment="1">
      <alignment horizontal="left"/>
    </xf>
    <xf numFmtId="0" fontId="4" fillId="5" borderId="0" xfId="1" applyFont="1" applyFill="1" applyAlignment="1">
      <alignment horizontal="right"/>
    </xf>
    <xf numFmtId="10" fontId="4" fillId="5" borderId="0" xfId="1" applyNumberFormat="1" applyFont="1" applyFill="1"/>
    <xf numFmtId="168" fontId="5" fillId="5" borderId="2" xfId="1" applyNumberFormat="1" applyFont="1" applyFill="1" applyBorder="1" applyProtection="1">
      <protection locked="0"/>
    </xf>
    <xf numFmtId="165" fontId="5" fillId="5" borderId="0" xfId="1" applyNumberFormat="1" applyFont="1" applyFill="1"/>
    <xf numFmtId="0" fontId="10" fillId="5" borderId="0" xfId="1" applyFont="1" applyFill="1"/>
    <xf numFmtId="49" fontId="5" fillId="5" borderId="0" xfId="1" applyNumberFormat="1" applyFont="1" applyFill="1" applyAlignment="1" applyProtection="1">
      <alignment vertical="center"/>
      <protection locked="0"/>
    </xf>
    <xf numFmtId="166" fontId="5" fillId="5" borderId="0" xfId="1" applyNumberFormat="1" applyFont="1" applyFill="1" applyAlignment="1">
      <alignment horizontal="left" vertical="center"/>
    </xf>
    <xf numFmtId="0" fontId="5" fillId="5" borderId="0" xfId="1" applyFont="1" applyFill="1" applyAlignment="1">
      <alignment horizontal="left" vertical="center"/>
    </xf>
    <xf numFmtId="0" fontId="9" fillId="5" borderId="0" xfId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 wrapText="1"/>
    </xf>
    <xf numFmtId="0" fontId="5" fillId="5" borderId="0" xfId="1" applyFont="1" applyFill="1" applyAlignment="1">
      <alignment horizontal="left" wrapText="1"/>
    </xf>
    <xf numFmtId="0" fontId="6" fillId="5" borderId="0" xfId="1" applyFont="1" applyFill="1" applyAlignment="1">
      <alignment horizontal="center" vertical="center" wrapText="1"/>
    </xf>
    <xf numFmtId="0" fontId="6" fillId="5" borderId="3" xfId="1" applyFont="1" applyFill="1" applyBorder="1" applyAlignment="1">
      <alignment horizontal="left" vertical="center"/>
    </xf>
    <xf numFmtId="0" fontId="6" fillId="5" borderId="5" xfId="1" applyFont="1" applyFill="1" applyBorder="1" applyAlignment="1">
      <alignment horizontal="left" vertical="center"/>
    </xf>
    <xf numFmtId="0" fontId="6" fillId="5" borderId="4" xfId="1" applyFont="1" applyFill="1" applyBorder="1" applyAlignment="1">
      <alignment horizontal="left" vertical="center"/>
    </xf>
    <xf numFmtId="0" fontId="6" fillId="5" borderId="2" xfId="1" applyFont="1" applyFill="1" applyBorder="1" applyAlignment="1">
      <alignment horizontal="center" vertical="center" wrapText="1"/>
    </xf>
    <xf numFmtId="0" fontId="5" fillId="5" borderId="0" xfId="1" applyFont="1" applyFill="1" applyAlignment="1">
      <alignment vertical="center" wrapText="1"/>
    </xf>
    <xf numFmtId="2" fontId="5" fillId="5" borderId="2" xfId="1" applyNumberFormat="1" applyFont="1" applyFill="1" applyBorder="1" applyAlignment="1" applyProtection="1">
      <alignment horizontal="center" vertical="center"/>
      <protection locked="0"/>
    </xf>
    <xf numFmtId="2" fontId="6" fillId="5" borderId="2" xfId="1" applyNumberFormat="1" applyFont="1" applyFill="1" applyBorder="1" applyAlignment="1">
      <alignment horizontal="center" vertical="center"/>
    </xf>
    <xf numFmtId="2" fontId="5" fillId="5" borderId="2" xfId="1" applyNumberFormat="1" applyFont="1" applyFill="1" applyBorder="1" applyAlignment="1">
      <alignment horizontal="center"/>
    </xf>
    <xf numFmtId="164" fontId="5" fillId="5" borderId="2" xfId="1" applyNumberFormat="1" applyFont="1" applyFill="1" applyBorder="1" applyAlignment="1">
      <alignment horizontal="center" vertical="center"/>
    </xf>
    <xf numFmtId="2" fontId="5" fillId="5" borderId="2" xfId="1" applyNumberFormat="1" applyFont="1" applyFill="1" applyBorder="1" applyAlignment="1">
      <alignment horizontal="center" vertical="center"/>
    </xf>
    <xf numFmtId="2" fontId="5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left" vertical="center"/>
    </xf>
    <xf numFmtId="1" fontId="5" fillId="5" borderId="2" xfId="1" applyNumberFormat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9" fillId="5" borderId="0" xfId="1" applyFont="1" applyFill="1" applyAlignment="1">
      <alignment vertical="center"/>
    </xf>
    <xf numFmtId="164" fontId="5" fillId="5" borderId="0" xfId="1" applyNumberFormat="1" applyFont="1" applyFill="1" applyAlignment="1">
      <alignment horizontal="center"/>
    </xf>
    <xf numFmtId="9" fontId="5" fillId="5" borderId="2" xfId="3" applyFont="1" applyFill="1" applyBorder="1" applyAlignment="1" applyProtection="1">
      <alignment horizontal="center" vertical="center"/>
      <protection locked="0"/>
    </xf>
    <xf numFmtId="0" fontId="9" fillId="5" borderId="0" xfId="1" applyFont="1" applyFill="1" applyAlignment="1">
      <alignment horizontal="right"/>
    </xf>
    <xf numFmtId="0" fontId="6" fillId="5" borderId="3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9" fillId="5" borderId="12" xfId="1" applyFont="1" applyFill="1" applyBorder="1" applyAlignment="1">
      <alignment vertical="center"/>
    </xf>
    <xf numFmtId="0" fontId="5" fillId="5" borderId="2" xfId="1" applyFont="1" applyFill="1" applyBorder="1" applyAlignment="1">
      <alignment horizontal="right"/>
    </xf>
    <xf numFmtId="2" fontId="5" fillId="5" borderId="2" xfId="1" applyNumberFormat="1" applyFont="1" applyFill="1" applyBorder="1"/>
    <xf numFmtId="10" fontId="5" fillId="5" borderId="2" xfId="3" applyNumberFormat="1" applyFont="1" applyFill="1" applyBorder="1" applyProtection="1"/>
    <xf numFmtId="1" fontId="6" fillId="5" borderId="2" xfId="1" applyNumberFormat="1" applyFont="1" applyFill="1" applyBorder="1" applyAlignment="1">
      <alignment horizontal="center" vertical="center"/>
    </xf>
    <xf numFmtId="168" fontId="5" fillId="5" borderId="0" xfId="3" applyNumberFormat="1" applyFont="1" applyFill="1" applyBorder="1" applyProtection="1"/>
    <xf numFmtId="165" fontId="5" fillId="5" borderId="2" xfId="3" applyNumberFormat="1" applyFont="1" applyFill="1" applyBorder="1" applyAlignment="1" applyProtection="1">
      <alignment horizontal="center" vertical="center"/>
    </xf>
    <xf numFmtId="2" fontId="5" fillId="5" borderId="2" xfId="3" applyNumberFormat="1" applyFont="1" applyFill="1" applyBorder="1" applyAlignment="1" applyProtection="1">
      <alignment horizontal="center" vertical="center"/>
    </xf>
    <xf numFmtId="2" fontId="6" fillId="5" borderId="2" xfId="3" applyNumberFormat="1" applyFont="1" applyFill="1" applyBorder="1" applyAlignment="1" applyProtection="1">
      <alignment horizontal="center" vertical="center"/>
    </xf>
    <xf numFmtId="165" fontId="5" fillId="5" borderId="2" xfId="1" applyNumberFormat="1" applyFont="1" applyFill="1" applyBorder="1" applyAlignment="1" applyProtection="1">
      <alignment horizontal="center" vertical="center"/>
      <protection locked="0"/>
    </xf>
    <xf numFmtId="2" fontId="5" fillId="5" borderId="0" xfId="1" applyNumberFormat="1" applyFont="1" applyFill="1"/>
    <xf numFmtId="165" fontId="5" fillId="5" borderId="2" xfId="3" applyNumberFormat="1" applyFont="1" applyFill="1" applyBorder="1" applyProtection="1"/>
    <xf numFmtId="0" fontId="5" fillId="5" borderId="2" xfId="1" applyFont="1" applyFill="1" applyBorder="1" applyProtection="1">
      <protection locked="0"/>
    </xf>
    <xf numFmtId="10" fontId="5" fillId="5" borderId="2" xfId="1" applyNumberFormat="1" applyFont="1" applyFill="1" applyBorder="1" applyAlignment="1">
      <alignment horizontal="center" vertical="center"/>
    </xf>
    <xf numFmtId="10" fontId="5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right" vertical="center" wrapText="1"/>
    </xf>
    <xf numFmtId="0" fontId="5" fillId="5" borderId="0" xfId="7" applyFont="1" applyFill="1"/>
    <xf numFmtId="0" fontId="6" fillId="5" borderId="0" xfId="7" applyFont="1" applyFill="1"/>
    <xf numFmtId="49" fontId="5" fillId="5" borderId="0" xfId="7" applyNumberFormat="1" applyFont="1" applyFill="1" applyAlignment="1" applyProtection="1">
      <alignment vertical="center"/>
      <protection locked="0"/>
    </xf>
    <xf numFmtId="0" fontId="9" fillId="5" borderId="0" xfId="7" applyFont="1" applyFill="1" applyAlignment="1">
      <alignment horizontal="right" vertical="center"/>
    </xf>
    <xf numFmtId="0" fontId="6" fillId="5" borderId="0" xfId="7" applyFont="1" applyFill="1" applyAlignment="1">
      <alignment horizontal="left"/>
    </xf>
    <xf numFmtId="0" fontId="5" fillId="5" borderId="0" xfId="7" applyFont="1" applyFill="1" applyAlignment="1">
      <alignment horizontal="left"/>
    </xf>
    <xf numFmtId="0" fontId="6" fillId="5" borderId="0" xfId="7" applyFont="1" applyFill="1" applyAlignment="1">
      <alignment wrapText="1"/>
    </xf>
    <xf numFmtId="0" fontId="6" fillId="5" borderId="0" xfId="7" applyFont="1" applyFill="1" applyAlignment="1">
      <alignment vertical="center" wrapText="1"/>
    </xf>
    <xf numFmtId="0" fontId="6" fillId="5" borderId="2" xfId="7" applyFont="1" applyFill="1" applyBorder="1" applyAlignment="1">
      <alignment horizontal="center"/>
    </xf>
    <xf numFmtId="0" fontId="5" fillId="5" borderId="2" xfId="7" applyFont="1" applyFill="1" applyBorder="1" applyAlignment="1">
      <alignment horizontal="center"/>
    </xf>
    <xf numFmtId="0" fontId="5" fillId="5" borderId="2" xfId="7" applyFont="1" applyFill="1" applyBorder="1"/>
    <xf numFmtId="0" fontId="5" fillId="5" borderId="2" xfId="7" applyFont="1" applyFill="1" applyBorder="1" applyProtection="1">
      <protection locked="0"/>
    </xf>
    <xf numFmtId="0" fontId="6" fillId="5" borderId="0" xfId="7" applyFont="1" applyFill="1" applyAlignment="1">
      <alignment horizontal="right"/>
    </xf>
    <xf numFmtId="1" fontId="5" fillId="5" borderId="2" xfId="7" applyNumberFormat="1" applyFont="1" applyFill="1" applyBorder="1"/>
    <xf numFmtId="0" fontId="5" fillId="5" borderId="0" xfId="7" applyFont="1" applyFill="1" applyAlignment="1">
      <alignment horizontal="right"/>
    </xf>
    <xf numFmtId="9" fontId="5" fillId="5" borderId="2" xfId="3" applyFont="1" applyFill="1" applyBorder="1" applyProtection="1"/>
    <xf numFmtId="0" fontId="6" fillId="5" borderId="10" xfId="7" applyFont="1" applyFill="1" applyBorder="1" applyAlignment="1">
      <alignment horizontal="right"/>
    </xf>
    <xf numFmtId="2" fontId="5" fillId="5" borderId="2" xfId="7" applyNumberFormat="1" applyFont="1" applyFill="1" applyBorder="1"/>
    <xf numFmtId="0" fontId="6" fillId="5" borderId="0" xfId="7" applyFont="1" applyFill="1" applyAlignment="1">
      <alignment horizontal="center"/>
    </xf>
    <xf numFmtId="0" fontId="5" fillId="5" borderId="0" xfId="7" applyFont="1" applyFill="1" applyAlignment="1">
      <alignment horizontal="center"/>
    </xf>
    <xf numFmtId="0" fontId="5" fillId="5" borderId="0" xfId="7" applyFont="1" applyFill="1" applyAlignment="1">
      <alignment horizontal="center" vertical="center"/>
    </xf>
    <xf numFmtId="168" fontId="5" fillId="5" borderId="2" xfId="7" applyNumberFormat="1" applyFont="1" applyFill="1" applyBorder="1"/>
    <xf numFmtId="169" fontId="5" fillId="5" borderId="2" xfId="7" applyNumberFormat="1" applyFont="1" applyFill="1" applyBorder="1"/>
    <xf numFmtId="0" fontId="5" fillId="5" borderId="16" xfId="7" applyFont="1" applyFill="1" applyBorder="1"/>
    <xf numFmtId="0" fontId="6" fillId="5" borderId="2" xfId="7" applyFont="1" applyFill="1" applyBorder="1"/>
    <xf numFmtId="168" fontId="5" fillId="5" borderId="0" xfId="7" applyNumberFormat="1" applyFont="1" applyFill="1"/>
    <xf numFmtId="0" fontId="6" fillId="5" borderId="0" xfId="7" applyFont="1" applyFill="1" applyAlignment="1">
      <alignment horizontal="right" vertical="center"/>
    </xf>
    <xf numFmtId="165" fontId="5" fillId="5" borderId="0" xfId="3" applyNumberFormat="1" applyFont="1" applyFill="1" applyBorder="1" applyProtection="1"/>
    <xf numFmtId="168" fontId="5" fillId="5" borderId="2" xfId="7" applyNumberFormat="1" applyFont="1" applyFill="1" applyBorder="1" applyAlignment="1">
      <alignment horizontal="center"/>
    </xf>
    <xf numFmtId="0" fontId="5" fillId="0" borderId="2" xfId="2" applyFont="1" applyBorder="1" applyAlignment="1" applyProtection="1">
      <alignment vertical="center"/>
      <protection locked="0"/>
    </xf>
    <xf numFmtId="0" fontId="5" fillId="0" borderId="2" xfId="2" applyFont="1" applyBorder="1" applyProtection="1"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center"/>
      <protection locked="0"/>
    </xf>
    <xf numFmtId="49" fontId="5" fillId="0" borderId="2" xfId="1" applyNumberFormat="1" applyFont="1" applyBorder="1" applyAlignment="1" applyProtection="1">
      <alignment horizontal="center" vertical="center"/>
      <protection locked="0"/>
    </xf>
    <xf numFmtId="2" fontId="5" fillId="0" borderId="2" xfId="1" applyNumberFormat="1" applyFont="1" applyBorder="1" applyAlignment="1" applyProtection="1">
      <alignment horizontal="center" vertical="center"/>
      <protection locked="0"/>
    </xf>
    <xf numFmtId="165" fontId="5" fillId="0" borderId="2" xfId="3" applyNumberFormat="1" applyFont="1" applyBorder="1" applyAlignment="1" applyProtection="1">
      <alignment horizontal="center" vertical="center"/>
      <protection locked="0"/>
    </xf>
    <xf numFmtId="9" fontId="5" fillId="0" borderId="2" xfId="3" applyFont="1" applyBorder="1" applyAlignment="1" applyProtection="1">
      <alignment horizontal="center" vertical="center"/>
      <protection locked="0"/>
    </xf>
    <xf numFmtId="10" fontId="5" fillId="0" borderId="2" xfId="1" applyNumberFormat="1" applyFont="1" applyBorder="1" applyAlignment="1" applyProtection="1">
      <alignment horizontal="center" vertical="center"/>
      <protection locked="0"/>
    </xf>
    <xf numFmtId="166" fontId="5" fillId="0" borderId="2" xfId="1" applyNumberFormat="1" applyFont="1" applyBorder="1" applyAlignment="1" applyProtection="1">
      <alignment vertical="center"/>
      <protection locked="0"/>
    </xf>
    <xf numFmtId="0" fontId="5" fillId="0" borderId="2" xfId="1" applyFont="1" applyBorder="1" applyProtection="1">
      <protection locked="0"/>
    </xf>
    <xf numFmtId="0" fontId="5" fillId="0" borderId="2" xfId="7" applyFont="1" applyBorder="1" applyAlignment="1" applyProtection="1">
      <alignment horizontal="left"/>
      <protection locked="0"/>
    </xf>
    <xf numFmtId="166" fontId="13" fillId="0" borderId="2" xfId="7" applyNumberFormat="1" applyFont="1" applyBorder="1" applyProtection="1">
      <protection locked="0"/>
    </xf>
    <xf numFmtId="0" fontId="5" fillId="0" borderId="2" xfId="7" applyFont="1" applyBorder="1" applyProtection="1">
      <protection locked="0"/>
    </xf>
    <xf numFmtId="0" fontId="6" fillId="0" borderId="2" xfId="7" applyFont="1" applyBorder="1" applyAlignment="1" applyProtection="1">
      <alignment horizontal="left"/>
      <protection locked="0"/>
    </xf>
    <xf numFmtId="0" fontId="6" fillId="3" borderId="0" xfId="7" applyFont="1" applyFill="1" applyAlignment="1">
      <alignment horizontal="left"/>
    </xf>
    <xf numFmtId="0" fontId="10" fillId="3" borderId="0" xfId="7" applyFont="1" applyFill="1" applyAlignment="1">
      <alignment horizontal="left"/>
    </xf>
    <xf numFmtId="0" fontId="6" fillId="3" borderId="0" xfId="7" applyFont="1" applyFill="1"/>
    <xf numFmtId="0" fontId="10" fillId="3" borderId="0" xfId="7" applyFont="1" applyFill="1"/>
    <xf numFmtId="0" fontId="5" fillId="0" borderId="2" xfId="1" applyFont="1" applyBorder="1" applyAlignment="1" applyProtection="1">
      <alignment vertical="center"/>
      <protection locked="0"/>
    </xf>
    <xf numFmtId="166" fontId="14" fillId="5" borderId="0" xfId="8" applyNumberFormat="1" applyFill="1" applyAlignment="1" applyProtection="1">
      <alignment vertical="center"/>
      <protection locked="0"/>
    </xf>
    <xf numFmtId="0" fontId="6" fillId="5" borderId="0" xfId="1" applyFont="1" applyFill="1" applyProtection="1">
      <protection locked="0"/>
    </xf>
    <xf numFmtId="0" fontId="6" fillId="5" borderId="0" xfId="1" applyFont="1" applyFill="1" applyAlignment="1" applyProtection="1">
      <alignment horizontal="center"/>
      <protection locked="0"/>
    </xf>
    <xf numFmtId="0" fontId="6" fillId="5" borderId="2" xfId="1" applyFont="1" applyFill="1" applyBorder="1" applyProtection="1">
      <protection locked="0"/>
    </xf>
    <xf numFmtId="0" fontId="6" fillId="5" borderId="0" xfId="1" applyFont="1" applyFill="1" applyAlignment="1" applyProtection="1">
      <alignment horizontal="right"/>
      <protection locked="0"/>
    </xf>
    <xf numFmtId="169" fontId="5" fillId="5" borderId="2" xfId="1" applyNumberFormat="1" applyFont="1" applyFill="1" applyBorder="1" applyProtection="1">
      <protection locked="0"/>
    </xf>
    <xf numFmtId="0" fontId="5" fillId="5" borderId="2" xfId="1" applyFont="1" applyFill="1" applyBorder="1" applyAlignment="1" applyProtection="1">
      <alignment horizontal="center"/>
      <protection locked="0"/>
    </xf>
    <xf numFmtId="0" fontId="5" fillId="5" borderId="0" xfId="1" applyFont="1" applyFill="1" applyProtection="1">
      <protection locked="0"/>
    </xf>
    <xf numFmtId="0" fontId="4" fillId="5" borderId="0" xfId="1" applyFont="1" applyFill="1" applyProtection="1">
      <protection locked="0"/>
    </xf>
    <xf numFmtId="0" fontId="5" fillId="5" borderId="2" xfId="1" applyFont="1" applyFill="1" applyBorder="1" applyAlignment="1" applyProtection="1">
      <alignment horizontal="right"/>
      <protection locked="0"/>
    </xf>
    <xf numFmtId="0" fontId="5" fillId="5" borderId="0" xfId="7" applyFont="1" applyFill="1" applyAlignment="1">
      <alignment horizontal="right"/>
    </xf>
    <xf numFmtId="0" fontId="6" fillId="5" borderId="0" xfId="7" applyFont="1" applyFill="1" applyAlignment="1">
      <alignment horizontal="center"/>
    </xf>
    <xf numFmtId="0" fontId="6" fillId="5" borderId="0" xfId="7" applyFont="1" applyFill="1" applyAlignment="1">
      <alignment horizontal="right"/>
    </xf>
    <xf numFmtId="0" fontId="5" fillId="5" borderId="2" xfId="7" applyFont="1" applyFill="1" applyBorder="1" applyAlignment="1">
      <alignment horizontal="center" vertical="center"/>
    </xf>
    <xf numFmtId="0" fontId="6" fillId="5" borderId="7" xfId="7" applyFont="1" applyFill="1" applyBorder="1" applyAlignment="1">
      <alignment horizontal="right"/>
    </xf>
    <xf numFmtId="0" fontId="6" fillId="5" borderId="10" xfId="7" applyFont="1" applyFill="1" applyBorder="1" applyAlignment="1">
      <alignment horizontal="right"/>
    </xf>
    <xf numFmtId="0" fontId="9" fillId="5" borderId="10" xfId="7" applyFont="1" applyFill="1" applyBorder="1" applyAlignment="1">
      <alignment horizontal="right"/>
    </xf>
    <xf numFmtId="0" fontId="6" fillId="5" borderId="0" xfId="7" applyFont="1" applyFill="1" applyAlignment="1">
      <alignment horizontal="center" wrapText="1"/>
    </xf>
    <xf numFmtId="0" fontId="6" fillId="5" borderId="2" xfId="7" applyFont="1" applyFill="1" applyBorder="1" applyAlignment="1">
      <alignment horizontal="center"/>
    </xf>
    <xf numFmtId="0" fontId="5" fillId="5" borderId="2" xfId="7" applyFont="1" applyFill="1" applyBorder="1" applyAlignment="1">
      <alignment horizontal="center"/>
    </xf>
    <xf numFmtId="9" fontId="5" fillId="5" borderId="2" xfId="3" applyFont="1" applyFill="1" applyBorder="1" applyAlignment="1" applyProtection="1">
      <alignment horizontal="center"/>
    </xf>
    <xf numFmtId="0" fontId="9" fillId="5" borderId="0" xfId="7" applyFont="1" applyFill="1" applyAlignment="1">
      <alignment horizontal="center"/>
    </xf>
    <xf numFmtId="0" fontId="6" fillId="5" borderId="12" xfId="7" applyFont="1" applyFill="1" applyBorder="1" applyAlignment="1">
      <alignment horizontal="center"/>
    </xf>
    <xf numFmtId="0" fontId="6" fillId="5" borderId="12" xfId="7" applyFont="1" applyFill="1" applyBorder="1" applyAlignment="1">
      <alignment horizontal="center" wrapText="1"/>
    </xf>
    <xf numFmtId="0" fontId="5" fillId="5" borderId="2" xfId="7" applyFont="1" applyFill="1" applyBorder="1" applyAlignment="1">
      <alignment horizontal="center" vertical="center" wrapText="1"/>
    </xf>
    <xf numFmtId="0" fontId="9" fillId="5" borderId="12" xfId="7" applyFont="1" applyFill="1" applyBorder="1" applyAlignment="1">
      <alignment horizontal="center" wrapText="1"/>
    </xf>
    <xf numFmtId="0" fontId="6" fillId="5" borderId="2" xfId="7" applyFont="1" applyFill="1" applyBorder="1" applyAlignment="1">
      <alignment horizontal="center" vertical="center" wrapText="1"/>
    </xf>
    <xf numFmtId="0" fontId="5" fillId="0" borderId="2" xfId="1" applyFont="1" applyBorder="1" applyAlignment="1" applyProtection="1">
      <alignment horizontal="left" vertical="center"/>
      <protection locked="0"/>
    </xf>
    <xf numFmtId="0" fontId="5" fillId="0" borderId="6" xfId="1" applyFont="1" applyBorder="1" applyAlignment="1" applyProtection="1">
      <alignment horizontal="left" vertical="top" wrapText="1"/>
      <protection locked="0"/>
    </xf>
    <xf numFmtId="0" fontId="5" fillId="0" borderId="7" xfId="1" applyFont="1" applyBorder="1" applyAlignment="1" applyProtection="1">
      <alignment horizontal="left" vertical="top" wrapText="1"/>
      <protection locked="0"/>
    </xf>
    <xf numFmtId="0" fontId="5" fillId="0" borderId="8" xfId="1" applyFont="1" applyBorder="1" applyAlignment="1" applyProtection="1">
      <alignment horizontal="left" vertical="top" wrapText="1"/>
      <protection locked="0"/>
    </xf>
    <xf numFmtId="0" fontId="5" fillId="0" borderId="9" xfId="1" applyFont="1" applyBorder="1" applyAlignment="1" applyProtection="1">
      <alignment horizontal="left" vertical="top" wrapText="1"/>
      <protection locked="0"/>
    </xf>
    <xf numFmtId="0" fontId="5" fillId="0" borderId="0" xfId="1" applyFont="1" applyAlignment="1" applyProtection="1">
      <alignment horizontal="left" vertical="top" wrapText="1"/>
      <protection locked="0"/>
    </xf>
    <xf numFmtId="0" fontId="5" fillId="0" borderId="10" xfId="1" applyFont="1" applyBorder="1" applyAlignment="1" applyProtection="1">
      <alignment horizontal="left" vertical="top" wrapText="1"/>
      <protection locked="0"/>
    </xf>
    <xf numFmtId="0" fontId="5" fillId="0" borderId="11" xfId="1" applyFont="1" applyBorder="1" applyAlignment="1" applyProtection="1">
      <alignment horizontal="left" vertical="top" wrapText="1"/>
      <protection locked="0"/>
    </xf>
    <xf numFmtId="0" fontId="5" fillId="0" borderId="12" xfId="1" applyFont="1" applyBorder="1" applyAlignment="1" applyProtection="1">
      <alignment horizontal="left" vertical="top" wrapText="1"/>
      <protection locked="0"/>
    </xf>
    <xf numFmtId="0" fontId="5" fillId="0" borderId="13" xfId="1" applyFont="1" applyBorder="1" applyAlignment="1" applyProtection="1">
      <alignment horizontal="left" vertical="top" wrapText="1"/>
      <protection locked="0"/>
    </xf>
    <xf numFmtId="49" fontId="5" fillId="0" borderId="3" xfId="7" applyNumberFormat="1" applyFont="1" applyBorder="1" applyAlignment="1" applyProtection="1">
      <alignment horizontal="left" vertical="center"/>
      <protection locked="0"/>
    </xf>
    <xf numFmtId="49" fontId="5" fillId="0" borderId="4" xfId="7" applyNumberFormat="1" applyFont="1" applyBorder="1" applyAlignment="1" applyProtection="1">
      <alignment horizontal="left" vertical="center"/>
      <protection locked="0"/>
    </xf>
    <xf numFmtId="0" fontId="6" fillId="5" borderId="2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5" fillId="5" borderId="0" xfId="1" applyFont="1" applyFill="1" applyAlignment="1">
      <alignment horizontal="left" vertical="center"/>
    </xf>
    <xf numFmtId="49" fontId="5" fillId="0" borderId="3" xfId="1" applyNumberFormat="1" applyFont="1" applyBorder="1" applyAlignment="1" applyProtection="1">
      <alignment horizontal="left" vertical="center"/>
      <protection locked="0"/>
    </xf>
    <xf numFmtId="49" fontId="5" fillId="0" borderId="5" xfId="1" applyNumberFormat="1" applyFont="1" applyBorder="1" applyAlignment="1" applyProtection="1">
      <alignment horizontal="left" vertical="center"/>
      <protection locked="0"/>
    </xf>
    <xf numFmtId="49" fontId="5" fillId="0" borderId="4" xfId="1" applyNumberFormat="1" applyFont="1" applyBorder="1" applyAlignment="1" applyProtection="1">
      <alignment horizontal="left" vertical="center"/>
      <protection locked="0"/>
    </xf>
    <xf numFmtId="49" fontId="5" fillId="0" borderId="2" xfId="1" applyNumberFormat="1" applyFont="1" applyBorder="1" applyAlignment="1" applyProtection="1">
      <alignment horizontal="left" vertical="center"/>
      <protection locked="0"/>
    </xf>
    <xf numFmtId="0" fontId="5" fillId="0" borderId="3" xfId="1" applyFont="1" applyBorder="1" applyAlignment="1" applyProtection="1">
      <alignment horizontal="left"/>
      <protection locked="0"/>
    </xf>
    <xf numFmtId="0" fontId="5" fillId="0" borderId="5" xfId="1" applyFont="1" applyBorder="1" applyAlignment="1" applyProtection="1">
      <alignment horizontal="left"/>
      <protection locked="0"/>
    </xf>
    <xf numFmtId="0" fontId="5" fillId="0" borderId="4" xfId="1" applyFont="1" applyBorder="1" applyAlignment="1" applyProtection="1">
      <alignment horizontal="left"/>
      <protection locked="0"/>
    </xf>
    <xf numFmtId="0" fontId="5" fillId="0" borderId="2" xfId="1" applyFont="1" applyBorder="1" applyAlignment="1" applyProtection="1">
      <alignment horizontal="center"/>
      <protection locked="0"/>
    </xf>
    <xf numFmtId="168" fontId="5" fillId="0" borderId="2" xfId="1" applyNumberFormat="1" applyFont="1" applyBorder="1" applyAlignment="1" applyProtection="1">
      <alignment horizontal="left" vertical="center"/>
      <protection locked="0"/>
    </xf>
    <xf numFmtId="0" fontId="5" fillId="0" borderId="3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2" xfId="5" applyFont="1" applyBorder="1" applyAlignment="1" applyProtection="1">
      <alignment horizontal="center" vertical="center"/>
      <protection locked="0"/>
    </xf>
    <xf numFmtId="0" fontId="6" fillId="5" borderId="3" xfId="1" applyFont="1" applyFill="1" applyBorder="1" applyAlignment="1" applyProtection="1">
      <alignment horizontal="center"/>
      <protection locked="0"/>
    </xf>
    <xf numFmtId="0" fontId="6" fillId="5" borderId="5" xfId="1" applyFont="1" applyFill="1" applyBorder="1" applyAlignment="1" applyProtection="1">
      <alignment horizontal="center"/>
      <protection locked="0"/>
    </xf>
    <xf numFmtId="0" fontId="6" fillId="5" borderId="4" xfId="1" applyFont="1" applyFill="1" applyBorder="1" applyAlignment="1" applyProtection="1">
      <alignment horizontal="center"/>
      <protection locked="0"/>
    </xf>
    <xf numFmtId="0" fontId="6" fillId="5" borderId="0" xfId="1" applyFont="1" applyFill="1" applyAlignment="1">
      <alignment horizontal="right"/>
    </xf>
    <xf numFmtId="0" fontId="6" fillId="5" borderId="10" xfId="1" applyFont="1" applyFill="1" applyBorder="1" applyAlignment="1">
      <alignment horizontal="right"/>
    </xf>
    <xf numFmtId="0" fontId="5" fillId="0" borderId="2" xfId="1" applyFont="1" applyBorder="1" applyAlignment="1" applyProtection="1">
      <alignment horizontal="left"/>
      <protection locked="0"/>
    </xf>
    <xf numFmtId="0" fontId="6" fillId="5" borderId="15" xfId="1" applyFont="1" applyFill="1" applyBorder="1" applyAlignment="1">
      <alignment horizontal="center" vertical="center"/>
    </xf>
    <xf numFmtId="49" fontId="5" fillId="0" borderId="3" xfId="2" applyNumberFormat="1" applyFont="1" applyBorder="1" applyAlignment="1" applyProtection="1">
      <alignment horizontal="left" vertical="center" wrapText="1"/>
      <protection locked="0"/>
    </xf>
    <xf numFmtId="49" fontId="5" fillId="0" borderId="5" xfId="2" applyNumberFormat="1" applyFont="1" applyBorder="1" applyAlignment="1" applyProtection="1">
      <alignment horizontal="left" vertical="center" wrapText="1"/>
      <protection locked="0"/>
    </xf>
    <xf numFmtId="49" fontId="5" fillId="0" borderId="4" xfId="2" applyNumberFormat="1" applyFont="1" applyBorder="1" applyAlignment="1" applyProtection="1">
      <alignment horizontal="left" vertical="center" wrapText="1"/>
      <protection locked="0"/>
    </xf>
    <xf numFmtId="0" fontId="6" fillId="5" borderId="2" xfId="1" applyFont="1" applyFill="1" applyBorder="1" applyAlignment="1">
      <alignment horizontal="center"/>
    </xf>
    <xf numFmtId="0" fontId="5" fillId="0" borderId="3" xfId="1" applyFont="1" applyBorder="1" applyAlignment="1" applyProtection="1">
      <alignment horizontal="left" vertical="center"/>
      <protection locked="0"/>
    </xf>
    <xf numFmtId="0" fontId="5" fillId="0" borderId="5" xfId="1" applyFont="1" applyBorder="1" applyAlignment="1" applyProtection="1">
      <alignment horizontal="left" vertical="center"/>
      <protection locked="0"/>
    </xf>
    <xf numFmtId="0" fontId="5" fillId="0" borderId="4" xfId="1" applyFont="1" applyBorder="1" applyAlignment="1" applyProtection="1">
      <alignment horizontal="left" vertical="center"/>
      <protection locked="0"/>
    </xf>
    <xf numFmtId="0" fontId="5" fillId="0" borderId="6" xfId="1" applyFont="1" applyBorder="1" applyAlignment="1" applyProtection="1">
      <alignment horizontal="left" vertical="top"/>
      <protection locked="0"/>
    </xf>
    <xf numFmtId="0" fontId="5" fillId="0" borderId="7" xfId="1" applyFont="1" applyBorder="1" applyAlignment="1" applyProtection="1">
      <alignment horizontal="left" vertical="top"/>
      <protection locked="0"/>
    </xf>
    <xf numFmtId="0" fontId="5" fillId="0" borderId="8" xfId="1" applyFont="1" applyBorder="1" applyAlignment="1" applyProtection="1">
      <alignment horizontal="left" vertical="top"/>
      <protection locked="0"/>
    </xf>
    <xf numFmtId="0" fontId="5" fillId="0" borderId="9" xfId="1" applyFont="1" applyBorder="1" applyAlignment="1" applyProtection="1">
      <alignment horizontal="left" vertical="top"/>
      <protection locked="0"/>
    </xf>
    <xf numFmtId="0" fontId="5" fillId="0" borderId="0" xfId="1" applyFont="1" applyAlignment="1" applyProtection="1">
      <alignment horizontal="left" vertical="top"/>
      <protection locked="0"/>
    </xf>
    <xf numFmtId="0" fontId="5" fillId="0" borderId="10" xfId="1" applyFont="1" applyBorder="1" applyAlignment="1" applyProtection="1">
      <alignment horizontal="left" vertical="top"/>
      <protection locked="0"/>
    </xf>
    <xf numFmtId="0" fontId="5" fillId="0" borderId="11" xfId="1" applyFont="1" applyBorder="1" applyAlignment="1" applyProtection="1">
      <alignment horizontal="left" vertical="top"/>
      <protection locked="0"/>
    </xf>
    <xf numFmtId="0" fontId="5" fillId="0" borderId="12" xfId="1" applyFont="1" applyBorder="1" applyAlignment="1" applyProtection="1">
      <alignment horizontal="left" vertical="top"/>
      <protection locked="0"/>
    </xf>
    <xf numFmtId="0" fontId="5" fillId="0" borderId="13" xfId="1" applyFont="1" applyBorder="1" applyAlignment="1" applyProtection="1">
      <alignment horizontal="left" vertical="top"/>
      <protection locked="0"/>
    </xf>
    <xf numFmtId="0" fontId="5" fillId="0" borderId="6" xfId="1" applyFont="1" applyBorder="1" applyAlignment="1" applyProtection="1">
      <alignment horizontal="left" vertical="center"/>
      <protection locked="0"/>
    </xf>
    <xf numFmtId="0" fontId="5" fillId="0" borderId="7" xfId="1" applyFont="1" applyBorder="1" applyAlignment="1" applyProtection="1">
      <alignment horizontal="left" vertical="center"/>
      <protection locked="0"/>
    </xf>
    <xf numFmtId="0" fontId="5" fillId="0" borderId="8" xfId="1" applyFont="1" applyBorder="1" applyAlignment="1" applyProtection="1">
      <alignment horizontal="left" vertical="center"/>
      <protection locked="0"/>
    </xf>
    <xf numFmtId="0" fontId="5" fillId="0" borderId="9" xfId="1" applyFont="1" applyBorder="1" applyAlignment="1" applyProtection="1">
      <alignment horizontal="left" vertical="center"/>
      <protection locked="0"/>
    </xf>
    <xf numFmtId="0" fontId="5" fillId="0" borderId="0" xfId="1" applyFont="1" applyAlignment="1" applyProtection="1">
      <alignment horizontal="left" vertical="center"/>
      <protection locked="0"/>
    </xf>
    <xf numFmtId="0" fontId="5" fillId="0" borderId="10" xfId="1" applyFont="1" applyBorder="1" applyAlignment="1" applyProtection="1">
      <alignment horizontal="left" vertical="center"/>
      <protection locked="0"/>
    </xf>
    <xf numFmtId="0" fontId="5" fillId="0" borderId="11" xfId="1" applyFont="1" applyBorder="1" applyAlignment="1" applyProtection="1">
      <alignment horizontal="left" vertical="center"/>
      <protection locked="0"/>
    </xf>
    <xf numFmtId="0" fontId="5" fillId="0" borderId="12" xfId="1" applyFont="1" applyBorder="1" applyAlignment="1" applyProtection="1">
      <alignment horizontal="left" vertical="center"/>
      <protection locked="0"/>
    </xf>
    <xf numFmtId="0" fontId="5" fillId="0" borderId="13" xfId="1" applyFont="1" applyBorder="1" applyAlignment="1" applyProtection="1">
      <alignment horizontal="left" vertical="center"/>
      <protection locked="0"/>
    </xf>
    <xf numFmtId="167" fontId="5" fillId="0" borderId="3" xfId="1" applyNumberFormat="1" applyFont="1" applyBorder="1" applyAlignment="1" applyProtection="1">
      <alignment horizontal="left" vertical="center"/>
      <protection locked="0"/>
    </xf>
    <xf numFmtId="167" fontId="5" fillId="0" borderId="4" xfId="1" applyNumberFormat="1" applyFont="1" applyBorder="1" applyAlignment="1" applyProtection="1">
      <alignment horizontal="left" vertical="center"/>
      <protection locked="0"/>
    </xf>
    <xf numFmtId="49" fontId="5" fillId="0" borderId="2" xfId="2" applyNumberFormat="1" applyFont="1" applyBorder="1" applyAlignment="1" applyProtection="1">
      <alignment horizontal="left" vertical="center" wrapText="1"/>
      <protection locked="0"/>
    </xf>
    <xf numFmtId="166" fontId="5" fillId="0" borderId="2" xfId="1" applyNumberFormat="1" applyFont="1" applyBorder="1" applyAlignment="1" applyProtection="1">
      <alignment horizontal="left" vertical="center"/>
      <protection locked="0"/>
    </xf>
  </cellXfs>
  <cellStyles count="9">
    <cellStyle name="Excel Built-in Note" xfId="6" xr:uid="{34985378-BDB9-4936-8721-F6BA8993253E}"/>
    <cellStyle name="Hyperlink" xfId="8" builtinId="8"/>
    <cellStyle name="Hyperlink 2" xfId="4" xr:uid="{136D53F9-5864-45A5-8F66-FA69957E934B}"/>
    <cellStyle name="Normal" xfId="0" builtinId="0"/>
    <cellStyle name="Normal 2" xfId="1" xr:uid="{E0584321-700C-4B24-8D29-82F0EC7FC8DA}"/>
    <cellStyle name="Normal 3" xfId="2" xr:uid="{6811AF1F-0183-4ECF-AD5D-0943CAF4D7E9}"/>
    <cellStyle name="Normal 3 2" xfId="5" xr:uid="{02859096-1EA3-455B-8379-36A4AF3BD21B}"/>
    <cellStyle name="Normal 6" xfId="7" xr:uid="{BF3DB017-A07D-4B5B-ABD0-4E2713ACCCB5}"/>
    <cellStyle name="Percent 2" xfId="3" xr:uid="{71102CEC-57E1-486D-BE46-094E662B93D6}"/>
  </cellStyles>
  <dxfs count="91">
    <dxf>
      <font>
        <color rgb="FF000000"/>
      </font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F6228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600"/>
      </font>
      <fill>
        <patternFill>
          <bgColor rgb="FF66FF99"/>
        </patternFill>
      </fill>
    </dxf>
    <dxf>
      <font>
        <b/>
        <i val="0"/>
        <color rgb="FFC00000"/>
      </font>
      <fill>
        <patternFill>
          <bgColor rgb="FFFF99CC"/>
        </patternFill>
      </fill>
    </dxf>
    <dxf>
      <font>
        <b/>
        <i val="0"/>
        <color rgb="FF006600"/>
      </font>
      <fill>
        <patternFill>
          <bgColor rgb="FF99FF99"/>
        </patternFill>
      </fill>
    </dxf>
    <dxf>
      <font>
        <b/>
        <i val="0"/>
        <color rgb="FFC00000"/>
      </font>
      <fill>
        <patternFill>
          <bgColor rgb="FFFF99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006600"/>
      </font>
      <fill>
        <patternFill>
          <bgColor rgb="FF99FF99"/>
        </patternFill>
      </fill>
    </dxf>
    <dxf>
      <font>
        <b/>
        <i val="0"/>
        <color rgb="FF4F6228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4F6228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600"/>
      </font>
      <fill>
        <patternFill>
          <bgColor rgb="FF66FF99"/>
        </patternFill>
      </fill>
    </dxf>
    <dxf>
      <font>
        <b/>
        <i val="0"/>
        <color rgb="FFC00000"/>
      </font>
      <fill>
        <patternFill>
          <bgColor rgb="FFFF99CC"/>
        </patternFill>
      </fill>
    </dxf>
    <dxf>
      <font>
        <b/>
        <i val="0"/>
        <color rgb="FF006600"/>
      </font>
      <fill>
        <patternFill>
          <bgColor rgb="FF99FF99"/>
        </patternFill>
      </fill>
    </dxf>
    <dxf>
      <font>
        <b/>
        <i val="0"/>
        <color rgb="FFC00000"/>
      </font>
      <fill>
        <patternFill>
          <bgColor rgb="FFFF99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006600"/>
      </font>
      <fill>
        <patternFill>
          <bgColor rgb="FF99FF99"/>
        </patternFill>
      </fill>
    </dxf>
    <dxf>
      <font>
        <b/>
        <i val="0"/>
        <color rgb="FF4F6228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EBF1DE"/>
      </font>
      <fill>
        <patternFill>
          <bgColor theme="6" tint="0.799890133365886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rgb="FF000000"/>
          <bgColor rgb="FFF9FFF9"/>
        </patternFill>
      </fill>
    </dxf>
    <dxf>
      <font>
        <strike val="0"/>
        <outline val="0"/>
        <shadow val="0"/>
        <sz val="12"/>
        <color auto="1"/>
        <name val="Calibri"/>
        <family val="2"/>
        <scheme val="none"/>
      </font>
      <fill>
        <patternFill patternType="solid">
          <fgColor indexed="64"/>
          <bgColor rgb="FFF9FFF9"/>
        </patternFill>
      </fill>
    </dxf>
  </dxfs>
  <tableStyles count="0" defaultTableStyle="TableStyleMedium2" defaultPivotStyle="PivotStyleLight16"/>
  <colors>
    <mruColors>
      <color rgb="FFF9FFF9"/>
      <color rgb="FFEEEEEE"/>
      <color rgb="FFEEFFEE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Template!$G$250</c:f>
              <c:strCache>
                <c:ptCount val="1"/>
                <c:pt idx="0">
                  <c:v>Mean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Template!$C$252:$C$259</c:f>
              <c:numCache>
                <c:formatCode>0.00</c:formatCode>
                <c:ptCount val="8"/>
              </c:numCache>
            </c:numRef>
          </c:xVal>
          <c:yVal>
            <c:numRef>
              <c:f>Template!$G$252:$G$259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8-4A57-B8B8-0923F5C75852}"/>
            </c:ext>
          </c:extLst>
        </c:ser>
        <c:ser>
          <c:idx val="1"/>
          <c:order val="1"/>
          <c:tx>
            <c:strRef>
              <c:f>Template!$X$251</c:f>
              <c:strCache>
                <c:ptCount val="1"/>
                <c:pt idx="0">
                  <c:v>Low cut off</c:v>
                </c:pt>
              </c:strCache>
            </c:strRef>
          </c:tx>
          <c:spPr>
            <a:ln w="12600" cap="rnd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Template!$C$252:$C$259</c:f>
              <c:numCache>
                <c:formatCode>0.00</c:formatCode>
                <c:ptCount val="8"/>
              </c:numCache>
            </c:numRef>
          </c:xVal>
          <c:yVal>
            <c:numRef>
              <c:f>Template!$X$252:$X$259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88-4A57-B8B8-0923F5C75852}"/>
            </c:ext>
          </c:extLst>
        </c:ser>
        <c:ser>
          <c:idx val="2"/>
          <c:order val="2"/>
          <c:tx>
            <c:strRef>
              <c:f>Template!$Y$251</c:f>
              <c:strCache>
                <c:ptCount val="1"/>
                <c:pt idx="0">
                  <c:v>High cut off</c:v>
                </c:pt>
              </c:strCache>
            </c:strRef>
          </c:tx>
          <c:spPr>
            <a:ln w="12600" cap="rnd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Template!$C$252:$C$259</c:f>
              <c:numCache>
                <c:formatCode>0.00</c:formatCode>
                <c:ptCount val="8"/>
              </c:numCache>
            </c:numRef>
          </c:xVal>
          <c:yVal>
            <c:numRef>
              <c:f>Template!$Y$252:$Y$259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88-4A57-B8B8-0923F5C75852}"/>
            </c:ext>
          </c:extLst>
        </c:ser>
        <c:ser>
          <c:idx val="3"/>
          <c:order val="3"/>
          <c:tx>
            <c:v>Identity</c:v>
          </c:tx>
          <c:spPr>
            <a:ln w="12600" cap="rnd">
              <a:solidFill>
                <a:srgbClr val="595959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Template!$C$252:$C$259</c:f>
              <c:numCache>
                <c:formatCode>0.00</c:formatCode>
                <c:ptCount val="8"/>
              </c:numCache>
            </c:numRef>
          </c:xVal>
          <c:yVal>
            <c:numRef>
              <c:f>Template!$C$252:$C$259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88-4A57-B8B8-0923F5C75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8265"/>
        <c:axId val="39661177"/>
      </c:scatterChart>
      <c:valAx>
        <c:axId val="252482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661177"/>
        <c:crosses val="autoZero"/>
        <c:crossBetween val="midCat"/>
      </c:valAx>
      <c:valAx>
        <c:axId val="396611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52482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</a:t>
            </a:r>
            <a:r>
              <a:rPr lang="en-AU" sz="1000" b="1" strike="noStrike" spc="-1" baseline="0">
                <a:solidFill>
                  <a:srgbClr val="000000"/>
                </a:solidFill>
                <a:latin typeface="Calibri"/>
              </a:rPr>
              <a:t> 1</a:t>
            </a:r>
            <a:endParaRPr lang="en-AU" sz="10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Template!$D$299</c:f>
              <c:strCache>
                <c:ptCount val="1"/>
                <c:pt idx="0">
                  <c:v>Level 1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Template!$D$300:$D$324</c:f>
              <c:numCache>
                <c:formatCode>General</c:formatCode>
                <c:ptCount val="25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5FF-4323-8861-AE4FC9330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499037"/>
        <c:axId val="8073684"/>
      </c:lineChart>
      <c:catAx>
        <c:axId val="3849903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73684"/>
        <c:crosses val="autoZero"/>
        <c:auto val="1"/>
        <c:lblAlgn val="ctr"/>
        <c:lblOffset val="100"/>
        <c:noMultiLvlLbl val="0"/>
      </c:catAx>
      <c:valAx>
        <c:axId val="8073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99037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Template!$E$299</c:f>
              <c:strCache>
                <c:ptCount val="1"/>
                <c:pt idx="0">
                  <c:v>Level 2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Template!$E$300:$E$324</c:f>
              <c:numCache>
                <c:formatCode>General</c:formatCode>
                <c:ptCount val="25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663-4312-AB25-815BB5A76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346946"/>
        <c:axId val="44907677"/>
      </c:lineChart>
      <c:catAx>
        <c:axId val="8134694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07677"/>
        <c:crosses val="autoZero"/>
        <c:auto val="1"/>
        <c:lblAlgn val="ctr"/>
        <c:lblOffset val="100"/>
        <c:noMultiLvlLbl val="0"/>
      </c:catAx>
      <c:valAx>
        <c:axId val="44907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46946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064521873330601E-2"/>
          <c:y val="0.14481378885811"/>
          <c:w val="0.91197245800439297"/>
          <c:h val="0.68821175746383501"/>
        </c:manualLayout>
      </c:layout>
      <c:lineChart>
        <c:grouping val="standard"/>
        <c:varyColors val="0"/>
        <c:ser>
          <c:idx val="0"/>
          <c:order val="0"/>
          <c:tx>
            <c:strRef>
              <c:f>Template!$F$299</c:f>
              <c:strCache>
                <c:ptCount val="1"/>
                <c:pt idx="0">
                  <c:v>Level 3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Template!$F$300:$F$324</c:f>
              <c:numCache>
                <c:formatCode>General</c:formatCode>
                <c:ptCount val="25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CE2-4E04-AF66-E691BD4A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142149"/>
        <c:axId val="35287046"/>
      </c:lineChart>
      <c:catAx>
        <c:axId val="911421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87046"/>
        <c:crosses val="autoZero"/>
        <c:auto val="1"/>
        <c:lblAlgn val="ctr"/>
        <c:lblOffset val="100"/>
        <c:noMultiLvlLbl val="0"/>
      </c:catAx>
      <c:valAx>
        <c:axId val="35287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42149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064521873330601E-2"/>
          <c:y val="0.14481217707024199"/>
          <c:w val="0.91197245800439297"/>
          <c:h val="0.68817204301075297"/>
        </c:manualLayout>
      </c:layout>
      <c:lineChart>
        <c:grouping val="standard"/>
        <c:varyColors val="0"/>
        <c:ser>
          <c:idx val="0"/>
          <c:order val="0"/>
          <c:tx>
            <c:strRef>
              <c:f>Template!$G$299</c:f>
              <c:strCache>
                <c:ptCount val="1"/>
                <c:pt idx="0">
                  <c:v>Level 4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Template!$G$300:$G$324</c:f>
              <c:numCache>
                <c:formatCode>General</c:formatCode>
                <c:ptCount val="25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960-4D71-B93F-C9D87A285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626943"/>
        <c:axId val="44759793"/>
      </c:lineChart>
      <c:catAx>
        <c:axId val="576269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59793"/>
        <c:crosses val="autoZero"/>
        <c:auto val="1"/>
        <c:lblAlgn val="ctr"/>
        <c:lblOffset val="100"/>
        <c:noMultiLvlLbl val="0"/>
      </c:catAx>
      <c:valAx>
        <c:axId val="44759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26943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Example!$G$250</c:f>
              <c:strCache>
                <c:ptCount val="1"/>
                <c:pt idx="0">
                  <c:v>Mean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Example!$C$252:$C$259</c:f>
              <c:numCache>
                <c:formatCode>0.00</c:formatCode>
                <c:ptCount val="8"/>
              </c:numCache>
            </c:numRef>
          </c:xVal>
          <c:yVal>
            <c:numRef>
              <c:f>Example!$G$252:$G$259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FF-464E-8D9C-7AB55C017F28}"/>
            </c:ext>
          </c:extLst>
        </c:ser>
        <c:ser>
          <c:idx val="1"/>
          <c:order val="1"/>
          <c:tx>
            <c:strRef>
              <c:f>Example!$X$251</c:f>
              <c:strCache>
                <c:ptCount val="1"/>
                <c:pt idx="0">
                  <c:v>Low cut off</c:v>
                </c:pt>
              </c:strCache>
            </c:strRef>
          </c:tx>
          <c:spPr>
            <a:ln w="12600" cap="rnd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Example!$C$252:$C$259</c:f>
              <c:numCache>
                <c:formatCode>0.00</c:formatCode>
                <c:ptCount val="8"/>
              </c:numCache>
            </c:numRef>
          </c:xVal>
          <c:yVal>
            <c:numRef>
              <c:f>Example!$X$252:$X$259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FF-464E-8D9C-7AB55C017F28}"/>
            </c:ext>
          </c:extLst>
        </c:ser>
        <c:ser>
          <c:idx val="2"/>
          <c:order val="2"/>
          <c:tx>
            <c:strRef>
              <c:f>Example!$Y$251</c:f>
              <c:strCache>
                <c:ptCount val="1"/>
                <c:pt idx="0">
                  <c:v>High cut off</c:v>
                </c:pt>
              </c:strCache>
            </c:strRef>
          </c:tx>
          <c:spPr>
            <a:ln w="12600" cap="rnd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Example!$C$252:$C$259</c:f>
              <c:numCache>
                <c:formatCode>0.00</c:formatCode>
                <c:ptCount val="8"/>
              </c:numCache>
            </c:numRef>
          </c:xVal>
          <c:yVal>
            <c:numRef>
              <c:f>Example!$Y$252:$Y$259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FF-464E-8D9C-7AB55C017F28}"/>
            </c:ext>
          </c:extLst>
        </c:ser>
        <c:ser>
          <c:idx val="3"/>
          <c:order val="3"/>
          <c:tx>
            <c:v>Identity</c:v>
          </c:tx>
          <c:spPr>
            <a:ln w="12600" cap="rnd">
              <a:solidFill>
                <a:srgbClr val="595959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Example!$C$252:$C$259</c:f>
              <c:numCache>
                <c:formatCode>0.00</c:formatCode>
                <c:ptCount val="8"/>
              </c:numCache>
            </c:numRef>
          </c:xVal>
          <c:yVal>
            <c:numRef>
              <c:f>Example!$C$252:$C$259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FF-464E-8D9C-7AB55C017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8265"/>
        <c:axId val="39661177"/>
      </c:scatterChart>
      <c:valAx>
        <c:axId val="252482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661177"/>
        <c:crosses val="autoZero"/>
        <c:crossBetween val="midCat"/>
      </c:valAx>
      <c:valAx>
        <c:axId val="396611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52482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</a:t>
            </a:r>
            <a:r>
              <a:rPr lang="en-AU" sz="1000" b="1" strike="noStrike" spc="-1" baseline="0">
                <a:solidFill>
                  <a:srgbClr val="000000"/>
                </a:solidFill>
                <a:latin typeface="Calibri"/>
              </a:rPr>
              <a:t> 1</a:t>
            </a:r>
            <a:endParaRPr lang="en-AU" sz="10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Example!$D$299</c:f>
              <c:strCache>
                <c:ptCount val="1"/>
                <c:pt idx="0">
                  <c:v>Level 1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Example!$D$300:$D$324</c:f>
              <c:numCache>
                <c:formatCode>General</c:formatCode>
                <c:ptCount val="25"/>
                <c:pt idx="0">
                  <c:v>95.1</c:v>
                </c:pt>
                <c:pt idx="1">
                  <c:v>95.2</c:v>
                </c:pt>
                <c:pt idx="2">
                  <c:v>95.8</c:v>
                </c:pt>
                <c:pt idx="3">
                  <c:v>95.4</c:v>
                </c:pt>
                <c:pt idx="4">
                  <c:v>95.9</c:v>
                </c:pt>
                <c:pt idx="5">
                  <c:v>98.2</c:v>
                </c:pt>
                <c:pt idx="6">
                  <c:v>96.6</c:v>
                </c:pt>
                <c:pt idx="7">
                  <c:v>96.9</c:v>
                </c:pt>
                <c:pt idx="8">
                  <c:v>96.2</c:v>
                </c:pt>
                <c:pt idx="9">
                  <c:v>91.6</c:v>
                </c:pt>
                <c:pt idx="10">
                  <c:v>94</c:v>
                </c:pt>
                <c:pt idx="11">
                  <c:v>92</c:v>
                </c:pt>
                <c:pt idx="12">
                  <c:v>93.1</c:v>
                </c:pt>
                <c:pt idx="13">
                  <c:v>92.7</c:v>
                </c:pt>
                <c:pt idx="14">
                  <c:v>93.7</c:v>
                </c:pt>
                <c:pt idx="15">
                  <c:v>91.4</c:v>
                </c:pt>
                <c:pt idx="16">
                  <c:v>91.6</c:v>
                </c:pt>
                <c:pt idx="17">
                  <c:v>92.5</c:v>
                </c:pt>
                <c:pt idx="18">
                  <c:v>91.2</c:v>
                </c:pt>
                <c:pt idx="19">
                  <c:v>93</c:v>
                </c:pt>
                <c:pt idx="20">
                  <c:v>92.9</c:v>
                </c:pt>
                <c:pt idx="21">
                  <c:v>92.1</c:v>
                </c:pt>
                <c:pt idx="22">
                  <c:v>94.7</c:v>
                </c:pt>
                <c:pt idx="23">
                  <c:v>89.2</c:v>
                </c:pt>
                <c:pt idx="24">
                  <c:v>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FD2-4A85-8730-CAD3B989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499037"/>
        <c:axId val="8073684"/>
      </c:lineChart>
      <c:catAx>
        <c:axId val="3849903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73684"/>
        <c:crosses val="autoZero"/>
        <c:auto val="1"/>
        <c:lblAlgn val="ctr"/>
        <c:lblOffset val="100"/>
        <c:noMultiLvlLbl val="0"/>
      </c:catAx>
      <c:valAx>
        <c:axId val="8073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99037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Example!$E$299</c:f>
              <c:strCache>
                <c:ptCount val="1"/>
                <c:pt idx="0">
                  <c:v>Level 2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Example!$E$300:$E$324</c:f>
              <c:numCache>
                <c:formatCode>General</c:formatCode>
                <c:ptCount val="25"/>
                <c:pt idx="0">
                  <c:v>418.2</c:v>
                </c:pt>
                <c:pt idx="1">
                  <c:v>415.2</c:v>
                </c:pt>
                <c:pt idx="2">
                  <c:v>416.9</c:v>
                </c:pt>
                <c:pt idx="3">
                  <c:v>416.3</c:v>
                </c:pt>
                <c:pt idx="4">
                  <c:v>416.8</c:v>
                </c:pt>
                <c:pt idx="5">
                  <c:v>421.3</c:v>
                </c:pt>
                <c:pt idx="6">
                  <c:v>416.7</c:v>
                </c:pt>
                <c:pt idx="7">
                  <c:v>422.5</c:v>
                </c:pt>
                <c:pt idx="8">
                  <c:v>419.9</c:v>
                </c:pt>
                <c:pt idx="9">
                  <c:v>405.7</c:v>
                </c:pt>
                <c:pt idx="10">
                  <c:v>413.3</c:v>
                </c:pt>
                <c:pt idx="11">
                  <c:v>411.7</c:v>
                </c:pt>
                <c:pt idx="12">
                  <c:v>413.8</c:v>
                </c:pt>
                <c:pt idx="13">
                  <c:v>412.3</c:v>
                </c:pt>
                <c:pt idx="14">
                  <c:v>414.6</c:v>
                </c:pt>
                <c:pt idx="15">
                  <c:v>401.3</c:v>
                </c:pt>
                <c:pt idx="16">
                  <c:v>398.7</c:v>
                </c:pt>
                <c:pt idx="17">
                  <c:v>399</c:v>
                </c:pt>
                <c:pt idx="18">
                  <c:v>398.2</c:v>
                </c:pt>
                <c:pt idx="19">
                  <c:v>402.4</c:v>
                </c:pt>
                <c:pt idx="20">
                  <c:v>401.4</c:v>
                </c:pt>
                <c:pt idx="21">
                  <c:v>402</c:v>
                </c:pt>
                <c:pt idx="22">
                  <c:v>404.2</c:v>
                </c:pt>
                <c:pt idx="23">
                  <c:v>399.7</c:v>
                </c:pt>
                <c:pt idx="24">
                  <c:v>398.6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975-4EEE-BB96-EA6BD90D7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346946"/>
        <c:axId val="44907677"/>
      </c:lineChart>
      <c:catAx>
        <c:axId val="8134694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07677"/>
        <c:crosses val="autoZero"/>
        <c:auto val="1"/>
        <c:lblAlgn val="ctr"/>
        <c:lblOffset val="100"/>
        <c:noMultiLvlLbl val="0"/>
      </c:catAx>
      <c:valAx>
        <c:axId val="44907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46946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064521873330601E-2"/>
          <c:y val="0.14481378885811"/>
          <c:w val="0.91197245800439297"/>
          <c:h val="0.68821175746383501"/>
        </c:manualLayout>
      </c:layout>
      <c:lineChart>
        <c:grouping val="standard"/>
        <c:varyColors val="0"/>
        <c:ser>
          <c:idx val="0"/>
          <c:order val="0"/>
          <c:tx>
            <c:strRef>
              <c:f>Example!$F$299</c:f>
              <c:strCache>
                <c:ptCount val="1"/>
                <c:pt idx="0">
                  <c:v>Level 3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Example!$F$300:$F$324</c:f>
              <c:numCache>
                <c:formatCode>General</c:formatCode>
                <c:ptCount val="25"/>
                <c:pt idx="0">
                  <c:v>95.1</c:v>
                </c:pt>
                <c:pt idx="1">
                  <c:v>95.2</c:v>
                </c:pt>
                <c:pt idx="2">
                  <c:v>95.8</c:v>
                </c:pt>
                <c:pt idx="3">
                  <c:v>95.4</c:v>
                </c:pt>
                <c:pt idx="4">
                  <c:v>95.9</c:v>
                </c:pt>
                <c:pt idx="5">
                  <c:v>98.2</c:v>
                </c:pt>
                <c:pt idx="6">
                  <c:v>96.6</c:v>
                </c:pt>
                <c:pt idx="7">
                  <c:v>96.9</c:v>
                </c:pt>
                <c:pt idx="8">
                  <c:v>96.2</c:v>
                </c:pt>
                <c:pt idx="9">
                  <c:v>91.6</c:v>
                </c:pt>
                <c:pt idx="10">
                  <c:v>94</c:v>
                </c:pt>
                <c:pt idx="11">
                  <c:v>92</c:v>
                </c:pt>
                <c:pt idx="12">
                  <c:v>93.1</c:v>
                </c:pt>
                <c:pt idx="13">
                  <c:v>92.7</c:v>
                </c:pt>
                <c:pt idx="14">
                  <c:v>93.7</c:v>
                </c:pt>
                <c:pt idx="15">
                  <c:v>91.4</c:v>
                </c:pt>
                <c:pt idx="16">
                  <c:v>91.6</c:v>
                </c:pt>
                <c:pt idx="17">
                  <c:v>92.5</c:v>
                </c:pt>
                <c:pt idx="18">
                  <c:v>91.2</c:v>
                </c:pt>
                <c:pt idx="19">
                  <c:v>93</c:v>
                </c:pt>
                <c:pt idx="20">
                  <c:v>92.9</c:v>
                </c:pt>
                <c:pt idx="21">
                  <c:v>92.1</c:v>
                </c:pt>
                <c:pt idx="22">
                  <c:v>94.7</c:v>
                </c:pt>
                <c:pt idx="23">
                  <c:v>89.2</c:v>
                </c:pt>
                <c:pt idx="24">
                  <c:v>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1E5-43FF-9174-A7D974CB2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142149"/>
        <c:axId val="35287046"/>
      </c:lineChart>
      <c:catAx>
        <c:axId val="911421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87046"/>
        <c:crosses val="autoZero"/>
        <c:auto val="1"/>
        <c:lblAlgn val="ctr"/>
        <c:lblOffset val="100"/>
        <c:noMultiLvlLbl val="0"/>
      </c:catAx>
      <c:valAx>
        <c:axId val="35287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42149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000" b="1" strike="noStrike" spc="-1">
                <a:solidFill>
                  <a:srgbClr val="000000"/>
                </a:solidFill>
                <a:latin typeface="Calibri"/>
              </a:rPr>
              <a:t>Level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064521873330601E-2"/>
          <c:y val="0.14481217707024199"/>
          <c:w val="0.91197245800439297"/>
          <c:h val="0.68817204301075297"/>
        </c:manualLayout>
      </c:layout>
      <c:lineChart>
        <c:grouping val="standard"/>
        <c:varyColors val="0"/>
        <c:ser>
          <c:idx val="0"/>
          <c:order val="0"/>
          <c:tx>
            <c:strRef>
              <c:f>Example!$G$299</c:f>
              <c:strCache>
                <c:ptCount val="1"/>
                <c:pt idx="0">
                  <c:v>Level 4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9"/>
            <c:spPr>
              <a:solidFill>
                <a:srgbClr val="FFFFFF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Example!$G$300:$G$324</c:f>
              <c:numCache>
                <c:formatCode>General</c:formatCode>
                <c:ptCount val="25"/>
                <c:pt idx="0">
                  <c:v>418.2</c:v>
                </c:pt>
                <c:pt idx="1">
                  <c:v>415.2</c:v>
                </c:pt>
                <c:pt idx="2">
                  <c:v>416.9</c:v>
                </c:pt>
                <c:pt idx="3">
                  <c:v>416.3</c:v>
                </c:pt>
                <c:pt idx="4">
                  <c:v>416.8</c:v>
                </c:pt>
                <c:pt idx="5">
                  <c:v>421.3</c:v>
                </c:pt>
                <c:pt idx="6">
                  <c:v>416.7</c:v>
                </c:pt>
                <c:pt idx="7">
                  <c:v>422.5</c:v>
                </c:pt>
                <c:pt idx="8">
                  <c:v>419.9</c:v>
                </c:pt>
                <c:pt idx="9">
                  <c:v>405.7</c:v>
                </c:pt>
                <c:pt idx="10">
                  <c:v>413.3</c:v>
                </c:pt>
                <c:pt idx="11">
                  <c:v>411.7</c:v>
                </c:pt>
                <c:pt idx="12">
                  <c:v>413.8</c:v>
                </c:pt>
                <c:pt idx="13">
                  <c:v>412.3</c:v>
                </c:pt>
                <c:pt idx="14">
                  <c:v>414.6</c:v>
                </c:pt>
                <c:pt idx="15">
                  <c:v>401.3</c:v>
                </c:pt>
                <c:pt idx="16">
                  <c:v>398.7</c:v>
                </c:pt>
                <c:pt idx="17">
                  <c:v>399</c:v>
                </c:pt>
                <c:pt idx="18">
                  <c:v>398.2</c:v>
                </c:pt>
                <c:pt idx="19">
                  <c:v>402.4</c:v>
                </c:pt>
                <c:pt idx="20">
                  <c:v>401.4</c:v>
                </c:pt>
                <c:pt idx="21">
                  <c:v>402</c:v>
                </c:pt>
                <c:pt idx="22">
                  <c:v>404.2</c:v>
                </c:pt>
                <c:pt idx="23">
                  <c:v>399.7</c:v>
                </c:pt>
                <c:pt idx="24">
                  <c:v>398.6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B30-444A-9BDC-F693E690E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626943"/>
        <c:axId val="44759793"/>
      </c:lineChart>
      <c:catAx>
        <c:axId val="576269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59793"/>
        <c:crosses val="autoZero"/>
        <c:auto val="1"/>
        <c:lblAlgn val="ctr"/>
        <c:lblOffset val="100"/>
        <c:noMultiLvlLbl val="0"/>
      </c:catAx>
      <c:valAx>
        <c:axId val="44759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26943"/>
        <c:crosses val="autoZero"/>
        <c:crossBetween val="between"/>
      </c:valAx>
      <c:spPr>
        <a:solidFill>
          <a:srgbClr val="EBF1DE"/>
        </a:solidFill>
        <a:ln w="0">
          <a:noFill/>
        </a:ln>
      </c:spPr>
    </c:plotArea>
    <c:plotVisOnly val="1"/>
    <c:dispBlanksAs val="gap"/>
    <c:showDLblsOverMax val="1"/>
  </c:chart>
  <c:spPr>
    <a:solidFill>
      <a:srgbClr val="EBF1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73811</xdr:colOff>
      <xdr:row>262</xdr:row>
      <xdr:rowOff>8640</xdr:rowOff>
    </xdr:from>
    <xdr:to>
      <xdr:col>8</xdr:col>
      <xdr:colOff>432930</xdr:colOff>
      <xdr:row>274</xdr:row>
      <xdr:rowOff>17895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38B7A-4BBE-427D-A296-7ED98B70D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89614</xdr:colOff>
      <xdr:row>288</xdr:row>
      <xdr:rowOff>17483</xdr:rowOff>
    </xdr:from>
    <xdr:to>
      <xdr:col>15</xdr:col>
      <xdr:colOff>584614</xdr:colOff>
      <xdr:row>299</xdr:row>
      <xdr:rowOff>36432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D1668-BA38-4BA0-8978-49C576C26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101520</xdr:colOff>
      <xdr:row>299</xdr:row>
      <xdr:rowOff>165240</xdr:rowOff>
    </xdr:from>
    <xdr:to>
      <xdr:col>15</xdr:col>
      <xdr:colOff>596520</xdr:colOff>
      <xdr:row>310</xdr:row>
      <xdr:rowOff>44508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A6FE25-0026-4C7F-9C4E-A1F019923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101520</xdr:colOff>
      <xdr:row>311</xdr:row>
      <xdr:rowOff>101520</xdr:rowOff>
    </xdr:from>
    <xdr:to>
      <xdr:col>15</xdr:col>
      <xdr:colOff>596520</xdr:colOff>
      <xdr:row>321</xdr:row>
      <xdr:rowOff>207007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F2A2C4-31F7-40B6-BBF1-25110FBE6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101520</xdr:colOff>
      <xdr:row>323</xdr:row>
      <xdr:rowOff>38160</xdr:rowOff>
    </xdr:from>
    <xdr:to>
      <xdr:col>15</xdr:col>
      <xdr:colOff>596520</xdr:colOff>
      <xdr:row>334</xdr:row>
      <xdr:rowOff>157994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4BD33F-37D8-4475-8B78-16968D824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73811</xdr:colOff>
      <xdr:row>262</xdr:row>
      <xdr:rowOff>8640</xdr:rowOff>
    </xdr:from>
    <xdr:to>
      <xdr:col>8</xdr:col>
      <xdr:colOff>432930</xdr:colOff>
      <xdr:row>274</xdr:row>
      <xdr:rowOff>17895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4BA37-B666-4E53-B0F7-2A28938E9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89614</xdr:colOff>
      <xdr:row>288</xdr:row>
      <xdr:rowOff>17483</xdr:rowOff>
    </xdr:from>
    <xdr:to>
      <xdr:col>15</xdr:col>
      <xdr:colOff>584614</xdr:colOff>
      <xdr:row>299</xdr:row>
      <xdr:rowOff>36432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33F4CA-11D6-4CC9-B033-E4877E170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101520</xdr:colOff>
      <xdr:row>299</xdr:row>
      <xdr:rowOff>165240</xdr:rowOff>
    </xdr:from>
    <xdr:to>
      <xdr:col>15</xdr:col>
      <xdr:colOff>596520</xdr:colOff>
      <xdr:row>310</xdr:row>
      <xdr:rowOff>44508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39F627-3B82-4704-A124-4B0036A28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101520</xdr:colOff>
      <xdr:row>311</xdr:row>
      <xdr:rowOff>101520</xdr:rowOff>
    </xdr:from>
    <xdr:to>
      <xdr:col>15</xdr:col>
      <xdr:colOff>596520</xdr:colOff>
      <xdr:row>321</xdr:row>
      <xdr:rowOff>207007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7B17FA-AEBB-4598-990A-0F48E2DEE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101520</xdr:colOff>
      <xdr:row>323</xdr:row>
      <xdr:rowOff>38160</xdr:rowOff>
    </xdr:from>
    <xdr:to>
      <xdr:col>15</xdr:col>
      <xdr:colOff>596520</xdr:colOff>
      <xdr:row>334</xdr:row>
      <xdr:rowOff>157994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F24E1D-1B37-44F3-BED8-E3CC087D5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C74E1A-093D-4A43-A745-2F07187D426F}" autoFormatId="16" applyNumberFormats="0" applyBorderFormats="0" applyFontFormats="0" applyPatternFormats="0" applyAlignmentFormats="0" applyWidthHeightFormats="0">
  <queryTableRefresh nextId="11">
    <queryTableFields count="10">
      <queryTableField id="1" name="Procedure" tableColumnId="1"/>
      <queryTableField id="2" name="Sample" tableColumnId="2"/>
      <queryTableField id="3" name="Units" tableColumnId="3"/>
      <queryTableField id="4" name="CVI" tableColumnId="4"/>
      <queryTableField id="5" name="CVG" tableColumnId="5"/>
      <queryTableField id="6" name="APS Abs" tableColumnId="6"/>
      <queryTableField id="7" name="APS Rel" tableColumnId="7"/>
      <queryTableField id="8" name="APS Cut" tableColumnId="8"/>
      <queryTableField id="9" name="Half Life" tableColumnId="9"/>
      <queryTableField id="10" name="Dose Interval" tableColumnId="1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3C6FBE-3874-40D1-A3B2-52D2AAA26C37}" name="CmpTbl212910" displayName="CmpTbl212910" ref="O60:T160" totalsRowShown="0" headerRowDxfId="90" dataDxfId="89">
  <autoFilter ref="O60:T160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4A0FAB7-63A9-45BF-98B8-93D54D9903E4}" name="X R1" dataDxfId="88">
      <calculatedColumnFormula>IF($J61="INCLUDE",E61,"")</calculatedColumnFormula>
    </tableColumn>
    <tableColumn id="2" xr3:uid="{5C6950BB-AA77-48A9-8A08-68A8607A3569}" name="X R2" dataDxfId="87">
      <calculatedColumnFormula>IF(AND($J61="INCLUDE",ISNUMBER(F61)),F61,"")</calculatedColumnFormula>
    </tableColumn>
    <tableColumn id="3" xr3:uid="{75C72A7F-9272-4E9E-92A7-FF4651971FED}" name="Mean X" dataDxfId="86">
      <calculatedColumnFormula>IF($J61="INCLUDE",AVERAGE(O61:P61),"")</calculatedColumnFormula>
    </tableColumn>
    <tableColumn id="4" xr3:uid="{62BFD292-F2DB-41E8-97E8-AA63996E915A}" name="Y R1" dataDxfId="85">
      <calculatedColumnFormula>IF($J61="INCLUDE",H61,"")</calculatedColumnFormula>
    </tableColumn>
    <tableColumn id="5" xr3:uid="{E23BC0C7-54CC-4902-93E1-3F168710D10E}" name="Y R2" dataDxfId="84">
      <calculatedColumnFormula>IF(AND($J61="INCLUDE",ISNUMBER(I61)),I61,"")</calculatedColumnFormula>
    </tableColumn>
    <tableColumn id="6" xr3:uid="{FAC6D8C4-8642-4A12-B00A-DBF65138B5AF}" name="Mean Y" dataDxfId="83">
      <calculatedColumnFormula>IF($J61="INCLUDE",AVERAGE(R61:S61),"")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941B0A-C81B-4DB2-8ACF-72AC83C84CA4}" name="CmpTbl2129" displayName="CmpTbl2129" ref="O60:T160" totalsRowShown="0" headerRowDxfId="82" dataDxfId="81">
  <autoFilter ref="O60:T160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87A315-1121-49D2-875A-4B95FC8E80F2}" name="X R1" dataDxfId="80">
      <calculatedColumnFormula>IF($J61="INCLUDE",E61,"")</calculatedColumnFormula>
    </tableColumn>
    <tableColumn id="2" xr3:uid="{719FC64B-77A1-4CAB-BC07-2C4282A8CACD}" name="X R2" dataDxfId="79">
      <calculatedColumnFormula>IF(AND($J61="INCLUDE",ISNUMBER(F61)),F61,"")</calculatedColumnFormula>
    </tableColumn>
    <tableColumn id="3" xr3:uid="{142F813A-4D48-45D5-8B4A-47BCC26C09A1}" name="Mean X" dataDxfId="78">
      <calculatedColumnFormula>IF($J61="INCLUDE",AVERAGE(O61:P61),"")</calculatedColumnFormula>
    </tableColumn>
    <tableColumn id="4" xr3:uid="{2A1437D9-E6B1-408A-ABBD-4B314839A2A7}" name="Y R1" dataDxfId="77">
      <calculatedColumnFormula>IF($J61="INCLUDE",H61,"")</calculatedColumnFormula>
    </tableColumn>
    <tableColumn id="5" xr3:uid="{B62D2846-97C6-460F-AFAC-07E10F7E6AEA}" name="Y R2" dataDxfId="76">
      <calculatedColumnFormula>IF(AND($J61="INCLUDE",ISNUMBER(I61)),I61,"")</calculatedColumnFormula>
    </tableColumn>
    <tableColumn id="6" xr3:uid="{6BD175FE-00E2-45FA-A640-D10C5D5496C7}" name="Mean Y" dataDxfId="75">
      <calculatedColumnFormula>IF($J61="INCLUDE",AVERAGE(R61:S61),"")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528F02-2DFB-42C8-AADF-ABA80371E2C9}" name="APS_Table" displayName="APS_Table" ref="A1:J265" tableType="queryTable" totalsRowShown="0">
  <autoFilter ref="A1:J265" xr:uid="{7A528F02-2DFB-42C8-AADF-ABA80371E2C9}"/>
  <tableColumns count="10">
    <tableColumn id="1" xr3:uid="{6F15E978-E597-43EF-A980-4574EC423B8E}" uniqueName="1" name="Procedure" queryTableFieldId="1" dataDxfId="74"/>
    <tableColumn id="2" xr3:uid="{BC18D15E-1FC7-47CD-85A2-33CAD5AB3643}" uniqueName="2" name="Sample" queryTableFieldId="2" dataDxfId="73"/>
    <tableColumn id="3" xr3:uid="{7BEAD4F2-8CBF-4937-B78D-7AEC0343483F}" uniqueName="3" name="Units" queryTableFieldId="3" dataDxfId="72"/>
    <tableColumn id="4" xr3:uid="{BC94DCC5-1B47-46B3-B723-C8A07FF5C7AD}" uniqueName="4" name="CVI" queryTableFieldId="4"/>
    <tableColumn id="5" xr3:uid="{08564EC1-CACC-4DA4-87A6-6A2345E30681}" uniqueName="5" name="CVG" queryTableFieldId="5"/>
    <tableColumn id="6" xr3:uid="{364118C3-B361-428C-891A-05A9C6EB3CEF}" uniqueName="6" name="APS Abs" queryTableFieldId="6"/>
    <tableColumn id="7" xr3:uid="{1EDFA122-E1D5-47C9-9BE6-2812800FB828}" uniqueName="7" name="APS Rel" queryTableFieldId="7"/>
    <tableColumn id="8" xr3:uid="{2186795F-7962-4157-A669-A27F6AB5BB54}" uniqueName="8" name="APS Cut" queryTableFieldId="8"/>
    <tableColumn id="9" xr3:uid="{AE138AA0-C1F0-4289-8447-7B1545941666}" uniqueName="9" name="Half Life" queryTableFieldId="9"/>
    <tableColumn id="10" xr3:uid="{E10FF1D6-E46F-4CB0-BEAE-C7CCC58C4DDE}" uniqueName="10" name="Dose Interval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7A594-95A7-4584-903D-B34906511404}" name="RunTable" displayName="RunTable" ref="H9:H13" totalsRowShown="0">
  <autoFilter ref="H9:H13" xr:uid="{00000000-0009-0000-0100-000008000000}"/>
  <tableColumns count="1">
    <tableColumn id="1" xr3:uid="{513BBC65-723C-41EB-B815-25045E97E8C9}" name="Ru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752C0D-C46A-4C1D-9F1D-A4CB514401C1}" name="Table2" displayName="Table2" ref="F9:F19" totalsRowShown="0">
  <autoFilter ref="F9:F19" xr:uid="{00000000-0009-0000-0100-00000A000000}"/>
  <tableColumns count="1">
    <tableColumn id="1" xr3:uid="{597ABB89-33B9-48AB-9814-676B2C7369FD}" name="Matrix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D4CFD7-D31B-4EC2-B83B-CF7330FE0BA0}" name="Table4" displayName="Table4" ref="H1:H3" totalsRowShown="0">
  <autoFilter ref="H1:H3" xr:uid="{00000000-0009-0000-0100-00000B000000}"/>
  <tableColumns count="1">
    <tableColumn id="1" xr3:uid="{670E2C47-BDA2-42AB-824D-47D70B8D0DD4}" name="Yes No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E3E1E7-3F3D-43D4-A47B-2EE0EEEC32EE}" name="Table7" displayName="Table7" ref="F1:F4" totalsRowShown="0">
  <autoFilter ref="F1:F4" xr:uid="{00000000-0009-0000-0100-00000C000000}"/>
  <tableColumns count="1">
    <tableColumn id="1" xr3:uid="{28E8E5BF-6BAF-4B2F-A7B4-F88FD2AE9CD3}" name="Quality String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C5DA88A-8986-464C-8604-26B9B7FB129F}">
  <we:reference id="5f366002-85f4-4596-824e-073593347127" version="1.0.0.0" store="developer" storeType="Registry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E3C09A-C2BD-482E-84CE-D2BEBD11ABFB}">
  <we:reference id="2fd3ebf4-8c70-447c-9ebe-40fa41f89128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etools.chesher.id.au/help/mvw/mvw-user-guide.html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etools.chesher.id.au/help/mvw/mvw-user-guide.html" TargetMode="External"/><Relationship Id="rId6" Type="http://schemas.openxmlformats.org/officeDocument/2006/relationships/comments" Target="../comments2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FA62-4B72-4F1A-9CB8-C538E0F3DD8D}">
  <dimension ref="A1:BC518"/>
  <sheetViews>
    <sheetView tabSelected="1" zoomScale="80" zoomScaleNormal="80" workbookViewId="0">
      <selection activeCell="B4" sqref="B4:E4"/>
    </sheetView>
  </sheetViews>
  <sheetFormatPr defaultColWidth="9.140625" defaultRowHeight="18" customHeight="1" x14ac:dyDescent="0.25"/>
  <cols>
    <col min="1" max="30" width="11.28515625" style="15" customWidth="1"/>
    <col min="31" max="16384" width="9.140625" style="15"/>
  </cols>
  <sheetData>
    <row r="1" spans="1:44" s="7" customFormat="1" ht="18" customHeight="1" x14ac:dyDescent="0.25">
      <c r="A1" s="5"/>
      <c r="B1" s="6" t="s">
        <v>328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3" spans="1:44" ht="18" customHeight="1" x14ac:dyDescent="0.25">
      <c r="B3" s="16" t="s">
        <v>329</v>
      </c>
      <c r="G3" s="17" t="s">
        <v>313</v>
      </c>
      <c r="H3" s="18"/>
      <c r="J3" s="19" t="s">
        <v>311</v>
      </c>
    </row>
    <row r="4" spans="1:44" ht="18" customHeight="1" x14ac:dyDescent="0.25">
      <c r="A4" s="20"/>
      <c r="B4" s="212"/>
      <c r="C4" s="212"/>
      <c r="D4" s="212"/>
      <c r="E4" s="212"/>
      <c r="G4" s="21" t="str">
        <f>IF(ISBLANK(B4),"",VLOOKUP(B4,APS_Table[],3))</f>
        <v/>
      </c>
      <c r="H4" s="22"/>
      <c r="J4" s="23" t="str">
        <f>IF(ISNA(VLOOKUP($B$4,APS_Table[],6,FALSE())),"",VLOOKUP($B$4,APS_Table[],6,FALSE()))</f>
        <v/>
      </c>
      <c r="W4" s="24"/>
      <c r="X4" s="24"/>
      <c r="Y4" s="25"/>
      <c r="AQ4" s="24"/>
      <c r="AR4" s="24"/>
    </row>
    <row r="5" spans="1:44" ht="18" customHeight="1" x14ac:dyDescent="0.25">
      <c r="A5" s="20"/>
      <c r="B5" s="16" t="s">
        <v>322</v>
      </c>
      <c r="H5" s="22"/>
      <c r="J5" s="17" t="s">
        <v>312</v>
      </c>
      <c r="W5" s="24"/>
      <c r="X5" s="24"/>
      <c r="Y5" s="25"/>
      <c r="AQ5" s="24"/>
      <c r="AR5" s="24"/>
    </row>
    <row r="6" spans="1:44" ht="18" customHeight="1" x14ac:dyDescent="0.25">
      <c r="A6" s="20"/>
      <c r="B6" s="251"/>
      <c r="C6" s="253"/>
      <c r="D6" s="26"/>
      <c r="E6" s="26"/>
      <c r="G6" s="20"/>
      <c r="H6" s="22"/>
      <c r="J6" s="27" t="str">
        <f>IF(ISNA(VLOOKUP($B$4,APS_Table[],7,FALSE())),"",VLOOKUP($B$4,APS_Table[],7,FALSE()))</f>
        <v/>
      </c>
      <c r="K6" s="24"/>
      <c r="W6" s="24"/>
      <c r="X6" s="24"/>
      <c r="Y6" s="25"/>
      <c r="AQ6" s="24"/>
      <c r="AR6" s="24"/>
    </row>
    <row r="7" spans="1:44" ht="18" customHeight="1" x14ac:dyDescent="0.25">
      <c r="A7" s="20"/>
      <c r="B7" s="16" t="s">
        <v>330</v>
      </c>
      <c r="G7" s="20"/>
      <c r="H7" s="26"/>
      <c r="I7" s="24"/>
      <c r="J7" s="28" t="s">
        <v>331</v>
      </c>
      <c r="K7" s="24"/>
      <c r="W7" s="24"/>
      <c r="X7" s="24"/>
      <c r="Y7" s="25"/>
      <c r="AQ7" s="24"/>
      <c r="AR7" s="24"/>
    </row>
    <row r="8" spans="1:44" ht="18" customHeight="1" x14ac:dyDescent="0.25">
      <c r="A8" s="20"/>
      <c r="B8" s="274"/>
      <c r="C8" s="274"/>
      <c r="D8" s="274"/>
      <c r="E8" s="274"/>
      <c r="F8" s="274"/>
      <c r="G8" s="274"/>
      <c r="H8" s="274"/>
      <c r="J8" s="23" t="str">
        <f>IF(ISNA(VLOOKUP($B$4,APS_Table[],8,FALSE())),"",VLOOKUP($B$4,APS_Table[],8,FALSE()))</f>
        <v/>
      </c>
      <c r="K8" s="24"/>
      <c r="L8" s="24"/>
      <c r="M8" s="24"/>
      <c r="N8" s="24"/>
      <c r="W8" s="24"/>
      <c r="X8" s="24"/>
      <c r="Y8" s="25"/>
      <c r="AQ8" s="24"/>
      <c r="AR8" s="24"/>
    </row>
    <row r="9" spans="1:44" ht="18" customHeight="1" x14ac:dyDescent="0.25">
      <c r="A9" s="20"/>
      <c r="B9" s="16" t="s">
        <v>333</v>
      </c>
      <c r="I9" s="29"/>
      <c r="J9" s="29"/>
      <c r="W9" s="24"/>
      <c r="X9" s="24"/>
      <c r="Y9" s="25"/>
      <c r="AQ9" s="24"/>
      <c r="AR9" s="24"/>
    </row>
    <row r="10" spans="1:44" ht="18" customHeight="1" x14ac:dyDescent="0.25">
      <c r="A10" s="20"/>
      <c r="B10" s="274"/>
      <c r="C10" s="274"/>
      <c r="D10" s="274"/>
      <c r="E10" s="274"/>
      <c r="F10" s="274"/>
      <c r="G10" s="274"/>
      <c r="H10" s="274"/>
      <c r="I10" s="29"/>
      <c r="J10" s="29"/>
      <c r="Q10" s="30"/>
      <c r="W10" s="24"/>
      <c r="X10" s="24"/>
      <c r="Y10" s="25"/>
      <c r="AQ10" s="24"/>
      <c r="AR10" s="24"/>
    </row>
    <row r="11" spans="1:44" ht="18" customHeight="1" x14ac:dyDescent="0.25">
      <c r="A11" s="20"/>
      <c r="B11" s="31" t="s">
        <v>335</v>
      </c>
      <c r="C11" s="32"/>
      <c r="D11" s="32"/>
      <c r="E11" s="32"/>
      <c r="F11" s="32"/>
      <c r="G11" s="32"/>
      <c r="H11" s="32"/>
      <c r="I11" s="29"/>
      <c r="J11" s="29"/>
      <c r="S11" s="15" t="s">
        <v>336</v>
      </c>
      <c r="W11" s="24"/>
      <c r="X11" s="24"/>
      <c r="Y11" s="25"/>
      <c r="AQ11" s="24"/>
      <c r="AR11" s="24"/>
    </row>
    <row r="12" spans="1:44" ht="18" customHeight="1" x14ac:dyDescent="0.25">
      <c r="A12" s="20"/>
      <c r="B12" s="247"/>
      <c r="C12" s="248"/>
      <c r="D12" s="248"/>
      <c r="E12" s="249"/>
      <c r="F12" s="32"/>
      <c r="G12" s="32"/>
      <c r="H12" s="32"/>
      <c r="I12" s="29"/>
      <c r="J12" s="29"/>
      <c r="K12" s="29"/>
      <c r="L12" s="29"/>
      <c r="M12" s="29"/>
      <c r="W12" s="24"/>
      <c r="AQ12" s="24"/>
      <c r="AR12" s="24"/>
    </row>
    <row r="13" spans="1:44" ht="18" customHeight="1" x14ac:dyDescent="0.25">
      <c r="B13" s="17" t="s">
        <v>337</v>
      </c>
      <c r="C13" s="33"/>
      <c r="D13" s="33"/>
      <c r="E13" s="33"/>
      <c r="F13" s="34"/>
      <c r="G13" s="34"/>
      <c r="H13" s="34"/>
      <c r="I13" s="29"/>
      <c r="J13" s="29"/>
      <c r="K13" s="29"/>
      <c r="L13" s="29"/>
      <c r="M13" s="29"/>
      <c r="W13" s="24"/>
      <c r="AQ13" s="24"/>
      <c r="AR13" s="24"/>
    </row>
    <row r="14" spans="1:44" ht="18" customHeight="1" x14ac:dyDescent="0.25">
      <c r="A14" s="20"/>
      <c r="B14" s="275"/>
      <c r="C14" s="275"/>
      <c r="D14" s="275"/>
      <c r="E14" s="275"/>
      <c r="F14" s="34"/>
      <c r="G14" s="34"/>
      <c r="H14" s="34"/>
      <c r="I14" s="29"/>
      <c r="J14" s="29"/>
      <c r="K14" s="29"/>
      <c r="L14" s="29"/>
      <c r="M14" s="29"/>
      <c r="W14" s="24"/>
      <c r="AQ14" s="24"/>
      <c r="AR14" s="24"/>
    </row>
    <row r="15" spans="1:44" ht="18" customHeight="1" x14ac:dyDescent="0.25">
      <c r="A15" s="20"/>
      <c r="B15" s="35" t="s">
        <v>339</v>
      </c>
      <c r="C15" s="26"/>
      <c r="D15" s="26"/>
      <c r="E15" s="26"/>
      <c r="F15" s="34"/>
      <c r="G15" s="34"/>
      <c r="H15" s="34"/>
      <c r="I15" s="29"/>
      <c r="J15" s="29"/>
      <c r="K15" s="29"/>
      <c r="L15" s="29"/>
      <c r="M15" s="29"/>
      <c r="W15" s="24"/>
      <c r="AQ15" s="24"/>
      <c r="AR15" s="24"/>
    </row>
    <row r="16" spans="1:44" ht="18" customHeight="1" x14ac:dyDescent="0.25">
      <c r="A16" s="20"/>
      <c r="B16" s="251"/>
      <c r="C16" s="252"/>
      <c r="D16" s="252"/>
      <c r="E16" s="253"/>
      <c r="F16" s="34"/>
      <c r="G16" s="34"/>
      <c r="H16" s="34"/>
      <c r="I16" s="29"/>
      <c r="J16" s="29"/>
      <c r="K16" s="29"/>
      <c r="L16" s="29"/>
      <c r="M16" s="29"/>
      <c r="W16" s="24"/>
      <c r="AQ16" s="24"/>
      <c r="AR16" s="24"/>
    </row>
    <row r="17" spans="1:44" ht="18" customHeight="1" x14ac:dyDescent="0.25">
      <c r="A17" s="20"/>
      <c r="B17" s="24"/>
      <c r="C17" s="24"/>
      <c r="D17" s="24"/>
      <c r="E17" s="24"/>
      <c r="F17" s="34"/>
      <c r="G17" s="34"/>
      <c r="H17" s="34"/>
      <c r="I17" s="29"/>
      <c r="J17" s="29"/>
      <c r="K17" s="29"/>
      <c r="L17" s="29"/>
      <c r="M17" s="29"/>
      <c r="W17" s="24"/>
      <c r="AQ17" s="24"/>
      <c r="AR17" s="24"/>
    </row>
    <row r="18" spans="1:44" ht="18" customHeight="1" x14ac:dyDescent="0.25">
      <c r="A18" s="36"/>
      <c r="B18" s="37" t="s">
        <v>340</v>
      </c>
      <c r="C18" s="24"/>
      <c r="D18" s="29"/>
      <c r="E18" s="29"/>
      <c r="F18" s="29"/>
      <c r="G18" s="29"/>
      <c r="H18" s="29"/>
      <c r="I18" s="24"/>
      <c r="J18" s="29"/>
      <c r="K18" s="29"/>
      <c r="L18" s="29"/>
      <c r="M18" s="29"/>
      <c r="N18" s="29"/>
      <c r="O18" s="29"/>
      <c r="P18" s="29"/>
      <c r="Q18" s="29"/>
      <c r="S18" s="29"/>
      <c r="T18" s="29"/>
      <c r="U18" s="29"/>
      <c r="V18" s="29"/>
      <c r="AG18" s="25"/>
      <c r="AH18" s="25"/>
      <c r="AI18" s="25"/>
      <c r="AL18" s="24"/>
      <c r="AM18" s="24"/>
      <c r="AN18" s="24"/>
      <c r="AO18" s="24"/>
      <c r="AQ18" s="24"/>
      <c r="AR18" s="24"/>
    </row>
    <row r="19" spans="1:44" ht="18" customHeight="1" x14ac:dyDescent="0.25">
      <c r="A19" s="20"/>
      <c r="B19" s="254"/>
      <c r="C19" s="255"/>
      <c r="D19" s="255"/>
      <c r="E19" s="255"/>
      <c r="F19" s="255"/>
      <c r="G19" s="255"/>
      <c r="H19" s="255"/>
      <c r="I19" s="255"/>
      <c r="J19" s="256"/>
      <c r="S19" s="29"/>
      <c r="T19" s="29"/>
      <c r="U19" s="29"/>
      <c r="V19" s="29"/>
      <c r="AG19" s="25"/>
      <c r="AH19" s="25"/>
      <c r="AI19" s="25"/>
      <c r="AL19" s="24"/>
      <c r="AM19" s="24"/>
      <c r="AN19" s="24"/>
      <c r="AO19" s="24"/>
      <c r="AQ19" s="24"/>
      <c r="AR19" s="24"/>
    </row>
    <row r="20" spans="1:44" ht="18" customHeight="1" x14ac:dyDescent="0.25">
      <c r="A20" s="20"/>
      <c r="B20" s="257"/>
      <c r="C20" s="258"/>
      <c r="D20" s="258"/>
      <c r="E20" s="258"/>
      <c r="F20" s="258"/>
      <c r="G20" s="258"/>
      <c r="H20" s="258"/>
      <c r="I20" s="258"/>
      <c r="J20" s="259"/>
      <c r="S20" s="29"/>
      <c r="T20" s="29"/>
      <c r="U20" s="29"/>
      <c r="V20" s="29"/>
      <c r="AG20" s="25"/>
      <c r="AH20" s="25"/>
      <c r="AI20" s="25"/>
      <c r="AL20" s="24"/>
      <c r="AM20" s="24"/>
      <c r="AN20" s="24"/>
      <c r="AO20" s="24"/>
      <c r="AQ20" s="24"/>
      <c r="AR20" s="24"/>
    </row>
    <row r="21" spans="1:44" ht="18" customHeight="1" x14ac:dyDescent="0.25">
      <c r="A21" s="20"/>
      <c r="B21" s="257"/>
      <c r="C21" s="258"/>
      <c r="D21" s="258"/>
      <c r="E21" s="258"/>
      <c r="F21" s="258"/>
      <c r="G21" s="258"/>
      <c r="H21" s="258"/>
      <c r="I21" s="258"/>
      <c r="J21" s="259"/>
      <c r="S21" s="29"/>
      <c r="T21" s="29"/>
      <c r="U21" s="29"/>
      <c r="V21" s="29"/>
      <c r="AG21" s="25"/>
      <c r="AH21" s="25"/>
      <c r="AI21" s="25"/>
      <c r="AL21" s="24"/>
      <c r="AM21" s="24"/>
      <c r="AN21" s="24"/>
      <c r="AO21" s="24"/>
      <c r="AQ21" s="24"/>
      <c r="AR21" s="24"/>
    </row>
    <row r="22" spans="1:44" ht="18" customHeight="1" x14ac:dyDescent="0.25">
      <c r="A22" s="20"/>
      <c r="B22" s="257"/>
      <c r="C22" s="258"/>
      <c r="D22" s="258"/>
      <c r="E22" s="258"/>
      <c r="F22" s="258"/>
      <c r="G22" s="258"/>
      <c r="H22" s="258"/>
      <c r="I22" s="258"/>
      <c r="J22" s="259"/>
      <c r="S22" s="29"/>
      <c r="T22" s="29"/>
      <c r="U22" s="29"/>
      <c r="V22" s="29"/>
      <c r="AG22" s="25"/>
      <c r="AH22" s="25"/>
      <c r="AI22" s="25"/>
      <c r="AL22" s="24"/>
      <c r="AM22" s="24"/>
      <c r="AN22" s="24"/>
      <c r="AO22" s="24"/>
      <c r="AQ22" s="24"/>
      <c r="AR22" s="24"/>
    </row>
    <row r="23" spans="1:44" ht="18" customHeight="1" x14ac:dyDescent="0.25">
      <c r="A23" s="20"/>
      <c r="B23" s="257"/>
      <c r="C23" s="258"/>
      <c r="D23" s="258"/>
      <c r="E23" s="258"/>
      <c r="F23" s="258"/>
      <c r="G23" s="258"/>
      <c r="H23" s="258"/>
      <c r="I23" s="258"/>
      <c r="J23" s="259"/>
      <c r="S23" s="29"/>
      <c r="T23" s="29"/>
      <c r="U23" s="29"/>
      <c r="V23" s="29"/>
      <c r="AG23" s="25"/>
      <c r="AH23" s="25"/>
      <c r="AI23" s="25"/>
      <c r="AL23" s="24"/>
      <c r="AM23" s="24"/>
      <c r="AN23" s="24"/>
      <c r="AO23" s="24"/>
      <c r="AQ23" s="24"/>
      <c r="AR23" s="24"/>
    </row>
    <row r="24" spans="1:44" ht="18" customHeight="1" x14ac:dyDescent="0.25">
      <c r="A24" s="20"/>
      <c r="B24" s="257"/>
      <c r="C24" s="258"/>
      <c r="D24" s="258"/>
      <c r="E24" s="258"/>
      <c r="F24" s="258"/>
      <c r="G24" s="258"/>
      <c r="H24" s="258"/>
      <c r="I24" s="258"/>
      <c r="J24" s="259"/>
      <c r="S24" s="29"/>
      <c r="T24" s="29"/>
      <c r="U24" s="29"/>
      <c r="V24" s="29"/>
      <c r="AG24" s="25"/>
      <c r="AH24" s="25"/>
      <c r="AI24" s="25"/>
      <c r="AL24" s="24"/>
      <c r="AM24" s="24"/>
      <c r="AN24" s="24"/>
      <c r="AO24" s="24"/>
      <c r="AQ24" s="24"/>
      <c r="AR24" s="24"/>
    </row>
    <row r="25" spans="1:44" ht="18" customHeight="1" x14ac:dyDescent="0.25">
      <c r="A25" s="20"/>
      <c r="B25" s="260"/>
      <c r="C25" s="261"/>
      <c r="D25" s="261"/>
      <c r="E25" s="261"/>
      <c r="F25" s="261"/>
      <c r="G25" s="261"/>
      <c r="H25" s="261"/>
      <c r="I25" s="261"/>
      <c r="J25" s="262"/>
      <c r="S25" s="29"/>
      <c r="T25" s="29"/>
      <c r="U25" s="29"/>
      <c r="V25" s="29"/>
      <c r="AG25" s="25"/>
      <c r="AH25" s="25"/>
      <c r="AI25" s="25"/>
      <c r="AL25" s="24"/>
      <c r="AM25" s="24"/>
      <c r="AN25" s="24"/>
      <c r="AO25" s="24"/>
      <c r="AQ25" s="24"/>
      <c r="AR25" s="24"/>
    </row>
    <row r="26" spans="1:44" ht="18" customHeight="1" x14ac:dyDescent="0.25">
      <c r="A26" s="20"/>
      <c r="F26" s="38"/>
      <c r="G26" s="39"/>
      <c r="H26" s="39"/>
      <c r="I26" s="39"/>
      <c r="J26" s="39"/>
      <c r="S26" s="29"/>
      <c r="T26" s="29"/>
      <c r="U26" s="29"/>
      <c r="V26" s="29"/>
      <c r="AG26" s="25"/>
      <c r="AH26" s="25"/>
      <c r="AI26" s="25"/>
      <c r="AL26" s="24"/>
      <c r="AM26" s="24"/>
      <c r="AN26" s="24"/>
      <c r="AO26" s="24"/>
      <c r="AQ26" s="24"/>
      <c r="AR26" s="24"/>
    </row>
    <row r="27" spans="1:44" ht="18" customHeight="1" x14ac:dyDescent="0.25">
      <c r="A27" s="36"/>
      <c r="B27" s="37" t="s">
        <v>341</v>
      </c>
      <c r="C27" s="24"/>
      <c r="D27" s="29"/>
      <c r="E27" s="29"/>
      <c r="F27" s="29"/>
      <c r="G27" s="29"/>
      <c r="H27" s="29"/>
      <c r="I27" s="24"/>
      <c r="J27" s="29"/>
      <c r="K27" s="29"/>
      <c r="L27" s="29"/>
      <c r="M27" s="29"/>
      <c r="N27" s="29"/>
      <c r="O27" s="29"/>
      <c r="P27" s="29"/>
      <c r="Q27" s="36"/>
      <c r="W27" s="24"/>
      <c r="X27" s="24"/>
      <c r="Y27" s="24"/>
      <c r="Z27" s="29"/>
      <c r="AQ27" s="24"/>
      <c r="AR27" s="24"/>
    </row>
    <row r="28" spans="1:44" s="41" customFormat="1" ht="18" customHeight="1" x14ac:dyDescent="0.25">
      <c r="A28" s="40"/>
      <c r="B28" s="263"/>
      <c r="C28" s="264"/>
      <c r="D28" s="264"/>
      <c r="E28" s="264"/>
      <c r="F28" s="264"/>
      <c r="G28" s="264"/>
      <c r="H28" s="264"/>
      <c r="I28" s="264"/>
      <c r="J28" s="265"/>
      <c r="K28" s="15"/>
      <c r="L28" s="15"/>
      <c r="M28" s="15"/>
      <c r="N28" s="15"/>
      <c r="AQ28" s="24"/>
      <c r="AR28" s="24"/>
    </row>
    <row r="29" spans="1:44" s="41" customFormat="1" ht="18" customHeight="1" x14ac:dyDescent="0.25">
      <c r="A29" s="40"/>
      <c r="B29" s="266"/>
      <c r="C29" s="267"/>
      <c r="D29" s="267"/>
      <c r="E29" s="267"/>
      <c r="F29" s="267"/>
      <c r="G29" s="267"/>
      <c r="H29" s="267"/>
      <c r="I29" s="267"/>
      <c r="J29" s="268"/>
      <c r="K29" s="15"/>
      <c r="L29" s="15"/>
      <c r="M29" s="15"/>
      <c r="N29" s="15"/>
      <c r="AQ29" s="24"/>
      <c r="AR29" s="24"/>
    </row>
    <row r="30" spans="1:44" s="41" customFormat="1" ht="18" customHeight="1" x14ac:dyDescent="0.25">
      <c r="A30" s="40"/>
      <c r="B30" s="269"/>
      <c r="C30" s="270"/>
      <c r="D30" s="270"/>
      <c r="E30" s="270"/>
      <c r="F30" s="270"/>
      <c r="G30" s="270"/>
      <c r="H30" s="270"/>
      <c r="I30" s="270"/>
      <c r="J30" s="271"/>
      <c r="K30" s="15"/>
      <c r="L30" s="15"/>
      <c r="M30" s="15"/>
      <c r="N30" s="15"/>
      <c r="AQ30" s="24"/>
      <c r="AR30" s="24"/>
    </row>
    <row r="31" spans="1:44" s="41" customFormat="1" ht="18" customHeight="1" x14ac:dyDescent="0.25">
      <c r="A31" s="40"/>
      <c r="B31" s="42"/>
      <c r="C31" s="42"/>
      <c r="D31" s="42"/>
      <c r="E31" s="42"/>
      <c r="F31" s="42"/>
      <c r="G31" s="42"/>
      <c r="H31" s="42"/>
      <c r="I31" s="42"/>
      <c r="J31" s="42"/>
      <c r="K31" s="15"/>
      <c r="L31" s="15"/>
      <c r="M31" s="15"/>
      <c r="N31" s="15"/>
      <c r="AQ31" s="24"/>
      <c r="AR31" s="24"/>
    </row>
    <row r="32" spans="1:44" s="44" customFormat="1" ht="18" customHeight="1" x14ac:dyDescent="0.25">
      <c r="A32" s="20"/>
      <c r="B32" s="35" t="s">
        <v>342</v>
      </c>
      <c r="C32" s="43"/>
      <c r="D32" s="43"/>
      <c r="E32" s="43"/>
      <c r="F32" s="43"/>
      <c r="G32" s="43"/>
      <c r="I32" s="35" t="s">
        <v>343</v>
      </c>
      <c r="J32" s="43"/>
      <c r="K32" s="16"/>
      <c r="L32" s="16"/>
      <c r="M32" s="16"/>
      <c r="N32" s="16"/>
      <c r="AQ32" s="28"/>
      <c r="AR32" s="28"/>
    </row>
    <row r="33" spans="1:44" s="41" customFormat="1" ht="18" customHeight="1" x14ac:dyDescent="0.25">
      <c r="A33" s="40"/>
      <c r="B33" s="251"/>
      <c r="C33" s="252"/>
      <c r="D33" s="252"/>
      <c r="E33" s="253"/>
      <c r="F33" s="42"/>
      <c r="G33" s="42"/>
      <c r="I33" s="272"/>
      <c r="J33" s="273"/>
      <c r="K33" s="15"/>
      <c r="L33" s="15"/>
      <c r="M33" s="15"/>
      <c r="N33" s="15"/>
      <c r="AQ33" s="24"/>
      <c r="AR33" s="24"/>
    </row>
    <row r="34" spans="1:44" s="41" customFormat="1" ht="18" customHeight="1" x14ac:dyDescent="0.25">
      <c r="A34" s="40"/>
      <c r="B34" s="42"/>
      <c r="C34" s="42"/>
      <c r="D34" s="42"/>
      <c r="E34" s="42"/>
      <c r="F34" s="42"/>
      <c r="G34" s="42"/>
      <c r="H34" s="42"/>
      <c r="I34" s="42"/>
      <c r="J34" s="42"/>
      <c r="K34" s="15"/>
      <c r="L34" s="15"/>
      <c r="M34" s="15"/>
      <c r="N34" s="15"/>
      <c r="AQ34" s="24"/>
      <c r="AR34" s="24"/>
    </row>
    <row r="35" spans="1:44" s="41" customFormat="1" ht="18" customHeight="1" x14ac:dyDescent="0.25">
      <c r="A35" s="40"/>
      <c r="B35" s="35" t="s">
        <v>344</v>
      </c>
      <c r="C35" s="42"/>
      <c r="D35" s="42"/>
      <c r="E35" s="42"/>
      <c r="F35" s="42"/>
      <c r="G35" s="42"/>
      <c r="H35" s="42"/>
      <c r="I35" s="42"/>
      <c r="J35" s="42"/>
      <c r="K35" s="15"/>
      <c r="L35" s="15"/>
      <c r="M35" s="15"/>
      <c r="N35" s="15"/>
      <c r="AQ35" s="24"/>
      <c r="AR35" s="24"/>
    </row>
    <row r="36" spans="1:44" s="41" customFormat="1" ht="18" customHeight="1" x14ac:dyDescent="0.25">
      <c r="A36" s="40"/>
      <c r="B36" s="272"/>
      <c r="C36" s="273"/>
      <c r="D36" s="45"/>
      <c r="E36" s="45"/>
      <c r="F36" s="45"/>
      <c r="G36" s="45"/>
      <c r="H36" s="45"/>
      <c r="I36" s="45"/>
      <c r="J36" s="185" t="s">
        <v>709</v>
      </c>
      <c r="K36" s="15"/>
      <c r="L36" s="15"/>
      <c r="M36" s="15"/>
      <c r="N36" s="15"/>
      <c r="AQ36" s="24"/>
      <c r="AR36" s="24"/>
    </row>
    <row r="37" spans="1:44" s="41" customFormat="1" ht="18" customHeight="1" x14ac:dyDescent="0.25">
      <c r="A37" s="15"/>
      <c r="B37" s="46"/>
      <c r="C37" s="47"/>
      <c r="D37" s="47"/>
      <c r="E37" s="47"/>
      <c r="F37" s="47"/>
      <c r="G37" s="15"/>
      <c r="H37" s="15"/>
      <c r="I37" s="15"/>
      <c r="J37" s="15"/>
      <c r="K37" s="15"/>
      <c r="L37" s="15"/>
      <c r="M37" s="15"/>
      <c r="N37" s="15"/>
      <c r="O37" s="15"/>
      <c r="AQ37" s="24"/>
      <c r="AR37" s="24"/>
    </row>
    <row r="38" spans="1:44" s="41" customFormat="1" ht="18" customHeight="1" x14ac:dyDescent="0.25">
      <c r="A38" s="15"/>
      <c r="B38" s="15"/>
      <c r="C38" s="2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AQ38" s="24"/>
      <c r="AR38" s="24"/>
    </row>
    <row r="39" spans="1:44" s="7" customFormat="1" ht="18" customHeight="1" x14ac:dyDescent="0.25">
      <c r="B39" s="8" t="s">
        <v>345</v>
      </c>
      <c r="C39" s="9"/>
      <c r="D39" s="10"/>
      <c r="E39" s="10"/>
      <c r="F39" s="10"/>
      <c r="G39" s="10"/>
      <c r="H39" s="10"/>
      <c r="I39" s="9"/>
      <c r="J39" s="10"/>
      <c r="K39" s="10"/>
      <c r="L39" s="10"/>
      <c r="M39" s="10"/>
      <c r="N39" s="10"/>
      <c r="O39" s="10"/>
      <c r="P39" s="10"/>
      <c r="Q39" s="8"/>
      <c r="W39" s="9"/>
      <c r="X39" s="9"/>
      <c r="Y39" s="9"/>
      <c r="Z39" s="10"/>
      <c r="AQ39" s="9"/>
      <c r="AR39" s="9"/>
    </row>
    <row r="40" spans="1:44" ht="18" customHeight="1" x14ac:dyDescent="0.25">
      <c r="B40" s="16" t="s">
        <v>346</v>
      </c>
    </row>
    <row r="41" spans="1:44" ht="18" customHeight="1" x14ac:dyDescent="0.25">
      <c r="A41" s="50"/>
      <c r="B41" s="247"/>
      <c r="C41" s="248"/>
      <c r="D41" s="248"/>
      <c r="E41" s="248"/>
      <c r="F41" s="248"/>
      <c r="G41" s="248"/>
      <c r="H41" s="249"/>
    </row>
    <row r="42" spans="1:44" ht="18" customHeight="1" x14ac:dyDescent="0.25">
      <c r="A42" s="36"/>
      <c r="B42" s="51" t="s">
        <v>347</v>
      </c>
      <c r="C42" s="52"/>
      <c r="D42" s="52"/>
      <c r="E42" s="18"/>
      <c r="F42" s="18"/>
      <c r="G42" s="18"/>
    </row>
    <row r="43" spans="1:44" ht="18" customHeight="1" x14ac:dyDescent="0.25">
      <c r="A43" s="20"/>
      <c r="B43" s="247"/>
      <c r="C43" s="248"/>
      <c r="D43" s="248"/>
      <c r="E43" s="248"/>
      <c r="F43" s="248"/>
      <c r="G43" s="248"/>
      <c r="H43" s="249"/>
    </row>
    <row r="44" spans="1:44" ht="18" customHeight="1" x14ac:dyDescent="0.25">
      <c r="A44" s="20"/>
      <c r="B44" s="53" t="s">
        <v>348</v>
      </c>
      <c r="C44" s="54"/>
      <c r="D44" s="55"/>
      <c r="E44" s="29"/>
      <c r="F44" s="29"/>
      <c r="G44" s="29"/>
    </row>
    <row r="45" spans="1:44" ht="18" customHeight="1" x14ac:dyDescent="0.25">
      <c r="A45" s="56"/>
      <c r="B45" s="247"/>
      <c r="C45" s="248"/>
      <c r="D45" s="248"/>
      <c r="E45" s="249"/>
      <c r="F45" s="57"/>
      <c r="G45" s="57"/>
    </row>
    <row r="46" spans="1:44" ht="18" customHeight="1" x14ac:dyDescent="0.25">
      <c r="A46" s="56"/>
      <c r="E46" s="57"/>
      <c r="F46" s="57"/>
      <c r="G46" s="57"/>
    </row>
    <row r="47" spans="1:44" ht="18" customHeight="1" x14ac:dyDescent="0.25">
      <c r="B47" s="16" t="s">
        <v>349</v>
      </c>
      <c r="D47" s="16"/>
      <c r="E47" s="16"/>
      <c r="F47" s="16"/>
      <c r="G47" s="57"/>
      <c r="H47" s="57"/>
    </row>
    <row r="48" spans="1:44" ht="18" customHeight="1" x14ac:dyDescent="0.25">
      <c r="B48" s="20"/>
      <c r="D48" s="58" t="s">
        <v>350</v>
      </c>
      <c r="E48" s="58"/>
      <c r="F48" s="58"/>
      <c r="G48" s="59" t="s">
        <v>351</v>
      </c>
      <c r="H48" s="57"/>
    </row>
    <row r="49" spans="2:55" ht="18" customHeight="1" x14ac:dyDescent="0.25">
      <c r="B49" s="60"/>
      <c r="D49" s="164"/>
      <c r="E49" s="61" t="str">
        <f>IF(ISBLANK(D49),"",IF(OR(NOT(ISNUMBER(D49)),NOT(ISNUMBER(G49))),"Numbers only",""))</f>
        <v/>
      </c>
      <c r="F49" s="62"/>
      <c r="G49" s="165"/>
      <c r="H49" s="18"/>
    </row>
    <row r="50" spans="2:55" ht="18" customHeight="1" x14ac:dyDescent="0.25">
      <c r="B50" s="20"/>
      <c r="D50" s="164"/>
      <c r="E50" s="63" t="str">
        <f>IF(ISBLANK(D50),"",IF(OR(NOT(ISNUMBER(D50)),NOT(ISNUMBER(G50))),"Numbers only",""))</f>
        <v/>
      </c>
      <c r="F50" s="62"/>
      <c r="G50" s="165"/>
      <c r="H50" s="18"/>
    </row>
    <row r="51" spans="2:55" ht="18" customHeight="1" x14ac:dyDescent="0.25">
      <c r="B51" s="20"/>
      <c r="D51" s="164"/>
      <c r="E51" s="63" t="str">
        <f>IF(ISBLANK(D51),"",IF(OR(NOT(ISNUMBER(D51)),NOT(ISNUMBER(G51))),"Numbers only",""))</f>
        <v/>
      </c>
      <c r="F51" s="62"/>
      <c r="G51" s="165"/>
      <c r="H51" s="18"/>
    </row>
    <row r="52" spans="2:55" ht="18" customHeight="1" x14ac:dyDescent="0.25">
      <c r="B52" s="20"/>
      <c r="D52" s="164"/>
      <c r="E52" s="63" t="str">
        <f>IF(ISBLANK(D52),"",IF(OR(NOT(ISNUMBER(D52)),NOT(ISNUMBER(G52))),"Numbers only",""))</f>
        <v/>
      </c>
      <c r="F52" s="62"/>
      <c r="G52" s="165"/>
    </row>
    <row r="53" spans="2:55" ht="18" customHeight="1" x14ac:dyDescent="0.25">
      <c r="B53" s="20"/>
      <c r="C53" s="15" t="str">
        <f>IF(NOT(COUNT(D49:D52)=COUNT(G49:G52)),"Reference and proposed methods must have the same number of thresholds","")</f>
        <v/>
      </c>
    </row>
    <row r="54" spans="2:55" ht="18" customHeight="1" x14ac:dyDescent="0.25">
      <c r="B54" s="20"/>
      <c r="D54" s="250" t="s">
        <v>352</v>
      </c>
      <c r="E54" s="250"/>
      <c r="F54" s="250"/>
      <c r="G54" s="250" t="s">
        <v>353</v>
      </c>
      <c r="H54" s="250"/>
      <c r="I54" s="250"/>
    </row>
    <row r="55" spans="2:55" ht="18" customHeight="1" x14ac:dyDescent="0.25">
      <c r="B55" s="243" t="s">
        <v>354</v>
      </c>
      <c r="C55" s="244"/>
      <c r="D55" s="245"/>
      <c r="E55" s="245"/>
      <c r="F55" s="245"/>
      <c r="G55" s="245"/>
      <c r="H55" s="245"/>
      <c r="I55" s="245"/>
    </row>
    <row r="56" spans="2:55" ht="18" customHeight="1" x14ac:dyDescent="0.25">
      <c r="B56" s="243" t="s">
        <v>355</v>
      </c>
      <c r="C56" s="244"/>
      <c r="D56" s="245"/>
      <c r="E56" s="245"/>
      <c r="F56" s="245"/>
      <c r="G56" s="245"/>
      <c r="H56" s="245"/>
      <c r="I56" s="245"/>
    </row>
    <row r="57" spans="2:55" ht="18" customHeight="1" x14ac:dyDescent="0.25">
      <c r="B57" s="20"/>
    </row>
    <row r="58" spans="2:55" ht="18" customHeight="1" x14ac:dyDescent="0.25">
      <c r="B58" s="20"/>
    </row>
    <row r="59" spans="2:55" ht="18" customHeight="1" x14ac:dyDescent="0.25">
      <c r="B59" s="20"/>
      <c r="C59" s="36"/>
      <c r="D59" s="246" t="s">
        <v>352</v>
      </c>
      <c r="E59" s="246"/>
      <c r="F59" s="246"/>
      <c r="G59" s="246" t="s">
        <v>353</v>
      </c>
      <c r="H59" s="246"/>
      <c r="I59" s="246"/>
      <c r="J59" s="28"/>
      <c r="K59" s="28"/>
      <c r="L59" s="28"/>
      <c r="M59" s="28"/>
      <c r="O59" s="15" t="s">
        <v>352</v>
      </c>
      <c r="R59" s="15" t="s">
        <v>353</v>
      </c>
    </row>
    <row r="60" spans="2:55" ht="18" customHeight="1" x14ac:dyDescent="0.25">
      <c r="B60" s="224" t="s">
        <v>357</v>
      </c>
      <c r="C60" s="224"/>
      <c r="D60" s="67" t="s">
        <v>358</v>
      </c>
      <c r="E60" s="67" t="s">
        <v>359</v>
      </c>
      <c r="F60" s="67" t="s">
        <v>360</v>
      </c>
      <c r="G60" s="66" t="str">
        <f>D60</f>
        <v>Operator</v>
      </c>
      <c r="H60" s="67" t="s">
        <v>359</v>
      </c>
      <c r="I60" s="67" t="s">
        <v>360</v>
      </c>
      <c r="J60" s="68" t="s">
        <v>361</v>
      </c>
      <c r="K60" s="240" t="s">
        <v>362</v>
      </c>
      <c r="L60" s="241"/>
      <c r="M60" s="242"/>
      <c r="O60" s="69" t="s">
        <v>363</v>
      </c>
      <c r="P60" s="70" t="s">
        <v>364</v>
      </c>
      <c r="Q60" s="70" t="s">
        <v>365</v>
      </c>
      <c r="R60" s="70" t="s">
        <v>366</v>
      </c>
      <c r="S60" s="70" t="s">
        <v>367</v>
      </c>
      <c r="T60" s="70" t="s">
        <v>368</v>
      </c>
    </row>
    <row r="61" spans="2:55" ht="18" customHeight="1" x14ac:dyDescent="0.25">
      <c r="B61" s="239"/>
      <c r="C61" s="239"/>
      <c r="D61" s="166"/>
      <c r="E61" s="167"/>
      <c r="F61" s="167"/>
      <c r="G61" s="166"/>
      <c r="H61" s="167"/>
      <c r="I61" s="166"/>
      <c r="J61" s="71" t="s">
        <v>708</v>
      </c>
      <c r="K61" s="235"/>
      <c r="L61" s="235"/>
      <c r="M61" s="235"/>
      <c r="O61" s="72" t="str">
        <f t="shared" ref="O61:O124" si="0">IF($J61="INCLUDE",E61,"")</f>
        <v/>
      </c>
      <c r="P61" s="73" t="str">
        <f t="shared" ref="P61:P124" si="1">IF(AND($J61="INCLUDE",ISNUMBER(F61)),F61,"")</f>
        <v/>
      </c>
      <c r="Q61" s="73" t="str">
        <f t="shared" ref="Q61:Q124" si="2">IF($J61="INCLUDE",AVERAGE(O61:P61),"")</f>
        <v/>
      </c>
      <c r="R61" s="73" t="str">
        <f t="shared" ref="R61:R124" si="3">IF($J61="INCLUDE",H61,"")</f>
        <v/>
      </c>
      <c r="S61" s="73" t="str">
        <f t="shared" ref="S61:S124" si="4">IF(AND($J61="INCLUDE",ISNUMBER(I61)),I61,"")</f>
        <v/>
      </c>
      <c r="T61" s="73" t="str">
        <f t="shared" ref="T61:T124" si="5">IF($J61="INCLUDE",AVERAGE(R61:S61),"")</f>
        <v/>
      </c>
      <c r="AP61" s="192" t="s">
        <v>375</v>
      </c>
      <c r="AQ61" s="192" t="s">
        <v>627</v>
      </c>
      <c r="AR61" s="192" t="s">
        <v>626</v>
      </c>
      <c r="AS61" s="192" t="s">
        <v>320</v>
      </c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</row>
    <row r="62" spans="2:55" ht="18" customHeight="1" x14ac:dyDescent="0.25">
      <c r="B62" s="239"/>
      <c r="C62" s="239"/>
      <c r="D62" s="166"/>
      <c r="E62" s="167"/>
      <c r="F62" s="166"/>
      <c r="G62" s="166"/>
      <c r="H62" s="166"/>
      <c r="I62" s="166"/>
      <c r="J62" s="71" t="s">
        <v>708</v>
      </c>
      <c r="K62" s="235"/>
      <c r="L62" s="235"/>
      <c r="M62" s="235"/>
      <c r="O62" s="72" t="str">
        <f t="shared" si="0"/>
        <v/>
      </c>
      <c r="P62" s="73" t="str">
        <f t="shared" si="1"/>
        <v/>
      </c>
      <c r="Q62" s="73" t="str">
        <f t="shared" si="2"/>
        <v/>
      </c>
      <c r="R62" s="73" t="str">
        <f t="shared" si="3"/>
        <v/>
      </c>
      <c r="S62" s="73" t="str">
        <f t="shared" si="4"/>
        <v/>
      </c>
      <c r="T62" s="73" t="str">
        <f t="shared" si="5"/>
        <v/>
      </c>
      <c r="AP62" s="192">
        <v>10559.5</v>
      </c>
      <c r="AQ62" s="192">
        <v>3.4471329134902223E-2</v>
      </c>
      <c r="AR62" s="192">
        <v>10377.5</v>
      </c>
      <c r="AS62" s="192">
        <v>10741.5</v>
      </c>
      <c r="AT62" s="192">
        <v>444.75</v>
      </c>
      <c r="AU62" s="192">
        <v>2.9560018366431778E-2</v>
      </c>
      <c r="AV62" s="192">
        <v>444.75</v>
      </c>
      <c r="AW62" s="192">
        <v>0.16132419694229849</v>
      </c>
      <c r="AX62" s="192">
        <v>444.75</v>
      </c>
      <c r="AY62" s="192">
        <v>-0.10220416020943494</v>
      </c>
      <c r="AZ62" s="192">
        <v>100</v>
      </c>
      <c r="BA62" s="192">
        <v>0.1</v>
      </c>
      <c r="BB62" s="192">
        <v>100</v>
      </c>
      <c r="BC62" s="192">
        <v>-0.1</v>
      </c>
    </row>
    <row r="63" spans="2:55" ht="18" customHeight="1" x14ac:dyDescent="0.25">
      <c r="B63" s="239"/>
      <c r="C63" s="239"/>
      <c r="D63" s="166"/>
      <c r="E63" s="167"/>
      <c r="F63" s="166"/>
      <c r="G63" s="166"/>
      <c r="H63" s="166"/>
      <c r="I63" s="166"/>
      <c r="J63" s="71" t="s">
        <v>708</v>
      </c>
      <c r="K63" s="235"/>
      <c r="L63" s="235"/>
      <c r="M63" s="235"/>
      <c r="O63" s="72" t="str">
        <f t="shared" si="0"/>
        <v/>
      </c>
      <c r="P63" s="73" t="str">
        <f t="shared" si="1"/>
        <v/>
      </c>
      <c r="Q63" s="73" t="str">
        <f t="shared" si="2"/>
        <v/>
      </c>
      <c r="R63" s="73" t="str">
        <f t="shared" si="3"/>
        <v/>
      </c>
      <c r="S63" s="73" t="str">
        <f t="shared" si="4"/>
        <v/>
      </c>
      <c r="T63" s="73" t="str">
        <f t="shared" si="5"/>
        <v/>
      </c>
      <c r="AP63" s="192">
        <v>3952.25</v>
      </c>
      <c r="AQ63" s="192">
        <v>-5.2501739515465877E-2</v>
      </c>
      <c r="AR63" s="192">
        <v>4056</v>
      </c>
      <c r="AS63" s="192">
        <v>3848.5</v>
      </c>
      <c r="AT63" s="192">
        <v>17217.75</v>
      </c>
      <c r="AU63" s="192">
        <v>2.9560018366431778E-2</v>
      </c>
      <c r="AV63" s="192">
        <v>17217.75</v>
      </c>
      <c r="AW63" s="192">
        <v>0.16132419694229849</v>
      </c>
      <c r="AX63" s="192">
        <v>17217.75</v>
      </c>
      <c r="AY63" s="192">
        <v>-0.10220416020943494</v>
      </c>
      <c r="AZ63" s="192">
        <v>17217.75</v>
      </c>
      <c r="BA63" s="192">
        <v>0.1</v>
      </c>
      <c r="BB63" s="192">
        <v>17217.75</v>
      </c>
      <c r="BC63" s="192">
        <v>-0.1</v>
      </c>
    </row>
    <row r="64" spans="2:55" ht="18" customHeight="1" x14ac:dyDescent="0.25">
      <c r="B64" s="239"/>
      <c r="C64" s="239"/>
      <c r="D64" s="166"/>
      <c r="E64" s="167"/>
      <c r="F64" s="167"/>
      <c r="G64" s="166"/>
      <c r="H64" s="167"/>
      <c r="I64" s="166"/>
      <c r="J64" s="71" t="s">
        <v>708</v>
      </c>
      <c r="K64" s="235"/>
      <c r="L64" s="235"/>
      <c r="M64" s="235"/>
      <c r="O64" s="72" t="str">
        <f t="shared" si="0"/>
        <v/>
      </c>
      <c r="P64" s="73" t="str">
        <f t="shared" si="1"/>
        <v/>
      </c>
      <c r="Q64" s="73" t="str">
        <f t="shared" si="2"/>
        <v/>
      </c>
      <c r="R64" s="73" t="str">
        <f t="shared" si="3"/>
        <v/>
      </c>
      <c r="S64" s="73" t="str">
        <f t="shared" si="4"/>
        <v/>
      </c>
      <c r="T64" s="73" t="str">
        <f t="shared" si="5"/>
        <v/>
      </c>
      <c r="AP64" s="192">
        <v>2654.75</v>
      </c>
      <c r="AQ64" s="192">
        <v>5.6502495526885774E-4</v>
      </c>
      <c r="AR64" s="192">
        <v>2654</v>
      </c>
      <c r="AS64" s="192">
        <v>2655.5</v>
      </c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</row>
    <row r="65" spans="2:55" ht="18" customHeight="1" x14ac:dyDescent="0.25">
      <c r="B65" s="239"/>
      <c r="C65" s="239"/>
      <c r="D65" s="166"/>
      <c r="E65" s="167"/>
      <c r="F65" s="166"/>
      <c r="G65" s="166"/>
      <c r="H65" s="166"/>
      <c r="I65" s="166"/>
      <c r="J65" s="71" t="s">
        <v>708</v>
      </c>
      <c r="K65" s="235"/>
      <c r="L65" s="235"/>
      <c r="M65" s="235"/>
      <c r="O65" s="72" t="str">
        <f t="shared" si="0"/>
        <v/>
      </c>
      <c r="P65" s="73" t="str">
        <f t="shared" si="1"/>
        <v/>
      </c>
      <c r="Q65" s="73" t="str">
        <f t="shared" si="2"/>
        <v/>
      </c>
      <c r="R65" s="73" t="str">
        <f t="shared" si="3"/>
        <v/>
      </c>
      <c r="S65" s="73" t="str">
        <f t="shared" si="4"/>
        <v/>
      </c>
      <c r="T65" s="73" t="str">
        <f t="shared" si="5"/>
        <v/>
      </c>
      <c r="AP65" s="192">
        <v>4968.75</v>
      </c>
      <c r="AQ65" s="192">
        <v>8.925786163522012E-2</v>
      </c>
      <c r="AR65" s="192">
        <v>4747</v>
      </c>
      <c r="AS65" s="192">
        <v>5190.5</v>
      </c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</row>
    <row r="66" spans="2:55" ht="18" customHeight="1" x14ac:dyDescent="0.25">
      <c r="B66" s="239"/>
      <c r="C66" s="239"/>
      <c r="D66" s="166"/>
      <c r="E66" s="167"/>
      <c r="F66" s="166"/>
      <c r="G66" s="166"/>
      <c r="H66" s="166"/>
      <c r="I66" s="166"/>
      <c r="J66" s="71" t="s">
        <v>708</v>
      </c>
      <c r="K66" s="235"/>
      <c r="L66" s="235"/>
      <c r="M66" s="235"/>
      <c r="O66" s="72" t="str">
        <f t="shared" si="0"/>
        <v/>
      </c>
      <c r="P66" s="73" t="str">
        <f t="shared" si="1"/>
        <v/>
      </c>
      <c r="Q66" s="73" t="str">
        <f t="shared" si="2"/>
        <v/>
      </c>
      <c r="R66" s="73" t="str">
        <f t="shared" si="3"/>
        <v/>
      </c>
      <c r="S66" s="73" t="str">
        <f t="shared" si="4"/>
        <v/>
      </c>
      <c r="T66" s="73" t="str">
        <f t="shared" si="5"/>
        <v/>
      </c>
      <c r="AP66" s="192">
        <v>1507</v>
      </c>
      <c r="AQ66" s="192">
        <v>6.3039150630391505E-2</v>
      </c>
      <c r="AR66" s="192">
        <v>1459.5</v>
      </c>
      <c r="AS66" s="192">
        <v>1554.5</v>
      </c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</row>
    <row r="67" spans="2:55" ht="18" customHeight="1" x14ac:dyDescent="0.25">
      <c r="B67" s="239"/>
      <c r="C67" s="239"/>
      <c r="D67" s="166"/>
      <c r="E67" s="167"/>
      <c r="F67" s="167"/>
      <c r="G67" s="166"/>
      <c r="H67" s="167"/>
      <c r="I67" s="166"/>
      <c r="J67" s="71" t="s">
        <v>708</v>
      </c>
      <c r="K67" s="235"/>
      <c r="L67" s="235"/>
      <c r="M67" s="235"/>
      <c r="O67" s="72" t="str">
        <f t="shared" si="0"/>
        <v/>
      </c>
      <c r="P67" s="73" t="str">
        <f t="shared" si="1"/>
        <v/>
      </c>
      <c r="Q67" s="73" t="str">
        <f t="shared" si="2"/>
        <v/>
      </c>
      <c r="R67" s="73" t="str">
        <f t="shared" si="3"/>
        <v/>
      </c>
      <c r="S67" s="73" t="str">
        <f t="shared" si="4"/>
        <v/>
      </c>
      <c r="T67" s="73" t="str">
        <f t="shared" si="5"/>
        <v/>
      </c>
      <c r="AP67" s="192">
        <v>5952.5</v>
      </c>
      <c r="AQ67" s="192">
        <v>2.4359512809743807E-2</v>
      </c>
      <c r="AR67" s="192">
        <v>5880</v>
      </c>
      <c r="AS67" s="192">
        <v>6025</v>
      </c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</row>
    <row r="68" spans="2:55" ht="18" customHeight="1" x14ac:dyDescent="0.25">
      <c r="B68" s="239"/>
      <c r="C68" s="239"/>
      <c r="D68" s="166"/>
      <c r="E68" s="167"/>
      <c r="F68" s="167"/>
      <c r="G68" s="166"/>
      <c r="H68" s="167"/>
      <c r="I68" s="166"/>
      <c r="J68" s="71" t="s">
        <v>708</v>
      </c>
      <c r="K68" s="235"/>
      <c r="L68" s="235"/>
      <c r="M68" s="235"/>
      <c r="O68" s="72" t="str">
        <f t="shared" si="0"/>
        <v/>
      </c>
      <c r="P68" s="73" t="str">
        <f t="shared" si="1"/>
        <v/>
      </c>
      <c r="Q68" s="73" t="str">
        <f t="shared" si="2"/>
        <v/>
      </c>
      <c r="R68" s="73" t="str">
        <f t="shared" si="3"/>
        <v/>
      </c>
      <c r="S68" s="73" t="str">
        <f t="shared" si="4"/>
        <v/>
      </c>
      <c r="T68" s="73" t="str">
        <f t="shared" si="5"/>
        <v/>
      </c>
      <c r="AP68" s="192">
        <v>3866.25</v>
      </c>
      <c r="AQ68" s="192">
        <v>-2.4571613320400905E-3</v>
      </c>
      <c r="AR68" s="192">
        <v>3871</v>
      </c>
      <c r="AS68" s="192">
        <v>3861.5</v>
      </c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</row>
    <row r="69" spans="2:55" ht="18" customHeight="1" x14ac:dyDescent="0.25">
      <c r="B69" s="239"/>
      <c r="C69" s="239"/>
      <c r="D69" s="166"/>
      <c r="E69" s="167"/>
      <c r="F69" s="166"/>
      <c r="G69" s="166"/>
      <c r="H69" s="166"/>
      <c r="I69" s="166"/>
      <c r="J69" s="71" t="s">
        <v>708</v>
      </c>
      <c r="K69" s="235"/>
      <c r="L69" s="235"/>
      <c r="M69" s="235"/>
      <c r="O69" s="72" t="str">
        <f t="shared" si="0"/>
        <v/>
      </c>
      <c r="P69" s="73" t="str">
        <f t="shared" si="1"/>
        <v/>
      </c>
      <c r="Q69" s="73" t="str">
        <f t="shared" si="2"/>
        <v/>
      </c>
      <c r="R69" s="73" t="str">
        <f t="shared" si="3"/>
        <v/>
      </c>
      <c r="S69" s="73" t="str">
        <f t="shared" si="4"/>
        <v/>
      </c>
      <c r="T69" s="73" t="str">
        <f t="shared" si="5"/>
        <v/>
      </c>
      <c r="AC69" s="46"/>
      <c r="AP69" s="192">
        <v>2497.25</v>
      </c>
      <c r="AQ69" s="192">
        <v>2.9031935128641505E-2</v>
      </c>
      <c r="AR69" s="192">
        <v>2461</v>
      </c>
      <c r="AS69" s="192">
        <v>2533.5</v>
      </c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</row>
    <row r="70" spans="2:55" ht="18" customHeight="1" x14ac:dyDescent="0.25">
      <c r="B70" s="239"/>
      <c r="C70" s="239"/>
      <c r="D70" s="166"/>
      <c r="E70" s="167"/>
      <c r="F70" s="167"/>
      <c r="G70" s="166"/>
      <c r="H70" s="167"/>
      <c r="I70" s="166"/>
      <c r="J70" s="71" t="s">
        <v>708</v>
      </c>
      <c r="K70" s="235"/>
      <c r="L70" s="235"/>
      <c r="M70" s="235"/>
      <c r="O70" s="72" t="str">
        <f t="shared" si="0"/>
        <v/>
      </c>
      <c r="P70" s="73" t="str">
        <f t="shared" si="1"/>
        <v/>
      </c>
      <c r="Q70" s="73" t="str">
        <f t="shared" si="2"/>
        <v/>
      </c>
      <c r="R70" s="73" t="str">
        <f t="shared" si="3"/>
        <v/>
      </c>
      <c r="S70" s="73" t="str">
        <f t="shared" si="4"/>
        <v/>
      </c>
      <c r="T70" s="73" t="str">
        <f t="shared" si="5"/>
        <v/>
      </c>
      <c r="AC70" s="46"/>
      <c r="AP70" s="192">
        <v>1830</v>
      </c>
      <c r="AQ70" s="192">
        <v>3.0601092896174863E-2</v>
      </c>
      <c r="AR70" s="192">
        <v>1802</v>
      </c>
      <c r="AS70" s="192">
        <v>1858</v>
      </c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</row>
    <row r="71" spans="2:55" ht="18" customHeight="1" x14ac:dyDescent="0.25">
      <c r="B71" s="239"/>
      <c r="C71" s="239"/>
      <c r="D71" s="166"/>
      <c r="E71" s="167"/>
      <c r="F71" s="167"/>
      <c r="G71" s="166"/>
      <c r="H71" s="167"/>
      <c r="I71" s="166"/>
      <c r="J71" s="71" t="s">
        <v>708</v>
      </c>
      <c r="K71" s="235"/>
      <c r="L71" s="235"/>
      <c r="M71" s="235"/>
      <c r="O71" s="72" t="str">
        <f t="shared" si="0"/>
        <v/>
      </c>
      <c r="P71" s="73" t="str">
        <f t="shared" si="1"/>
        <v/>
      </c>
      <c r="Q71" s="73" t="str">
        <f t="shared" si="2"/>
        <v/>
      </c>
      <c r="R71" s="73" t="str">
        <f t="shared" si="3"/>
        <v/>
      </c>
      <c r="S71" s="73" t="str">
        <f t="shared" si="4"/>
        <v/>
      </c>
      <c r="T71" s="73" t="str">
        <f t="shared" si="5"/>
        <v/>
      </c>
      <c r="AP71" s="192">
        <v>1621.75</v>
      </c>
      <c r="AQ71" s="192">
        <v>1.7573608755973486E-2</v>
      </c>
      <c r="AR71" s="192">
        <v>1607.5</v>
      </c>
      <c r="AS71" s="192">
        <v>1636</v>
      </c>
      <c r="AT71" s="192"/>
      <c r="AU71" s="192"/>
      <c r="AV71" s="192">
        <v>408.5</v>
      </c>
      <c r="AW71" s="192">
        <v>408.5</v>
      </c>
      <c r="AX71" s="192">
        <v>408.5</v>
      </c>
      <c r="AY71" s="192">
        <v>465.2344989898815</v>
      </c>
      <c r="AZ71" s="192">
        <v>100</v>
      </c>
      <c r="BA71" s="192">
        <v>110</v>
      </c>
      <c r="BB71" s="192">
        <v>100</v>
      </c>
      <c r="BC71" s="192">
        <v>90</v>
      </c>
    </row>
    <row r="72" spans="2:55" ht="18" customHeight="1" x14ac:dyDescent="0.25">
      <c r="B72" s="239"/>
      <c r="C72" s="239"/>
      <c r="D72" s="166"/>
      <c r="E72" s="167"/>
      <c r="F72" s="167"/>
      <c r="G72" s="166"/>
      <c r="H72" s="167"/>
      <c r="I72" s="166"/>
      <c r="J72" s="71" t="s">
        <v>708</v>
      </c>
      <c r="K72" s="235"/>
      <c r="L72" s="235"/>
      <c r="M72" s="235"/>
      <c r="O72" s="72" t="str">
        <f t="shared" si="0"/>
        <v/>
      </c>
      <c r="P72" s="73" t="str">
        <f t="shared" si="1"/>
        <v/>
      </c>
      <c r="Q72" s="73" t="str">
        <f t="shared" si="2"/>
        <v/>
      </c>
      <c r="R72" s="73" t="str">
        <f t="shared" si="3"/>
        <v/>
      </c>
      <c r="S72" s="73" t="str">
        <f t="shared" si="4"/>
        <v/>
      </c>
      <c r="T72" s="73" t="str">
        <f t="shared" si="5"/>
        <v/>
      </c>
      <c r="AP72" s="192">
        <v>4335.25</v>
      </c>
      <c r="AQ72" s="192">
        <v>2.8833400611268092E-3</v>
      </c>
      <c r="AR72" s="192">
        <v>4329</v>
      </c>
      <c r="AS72" s="192">
        <v>4341.5</v>
      </c>
      <c r="AT72" s="192"/>
      <c r="AU72" s="192"/>
      <c r="AV72" s="192">
        <v>17859</v>
      </c>
      <c r="AW72" s="192">
        <v>17859</v>
      </c>
      <c r="AX72" s="192">
        <v>17859</v>
      </c>
      <c r="AY72" s="192">
        <v>17894.649250210412</v>
      </c>
      <c r="AZ72" s="192">
        <v>17859</v>
      </c>
      <c r="BA72" s="192">
        <v>19644.900000000001</v>
      </c>
      <c r="BB72" s="192">
        <v>17859</v>
      </c>
      <c r="BC72" s="192">
        <v>16073.1</v>
      </c>
    </row>
    <row r="73" spans="2:55" ht="18" customHeight="1" x14ac:dyDescent="0.25">
      <c r="B73" s="239"/>
      <c r="C73" s="239"/>
      <c r="D73" s="166"/>
      <c r="E73" s="167"/>
      <c r="F73" s="167"/>
      <c r="G73" s="166"/>
      <c r="H73" s="167"/>
      <c r="I73" s="166"/>
      <c r="J73" s="71" t="s">
        <v>708</v>
      </c>
      <c r="K73" s="235"/>
      <c r="L73" s="235"/>
      <c r="M73" s="235"/>
      <c r="O73" s="72" t="str">
        <f t="shared" si="0"/>
        <v/>
      </c>
      <c r="P73" s="73" t="str">
        <f t="shared" si="1"/>
        <v/>
      </c>
      <c r="Q73" s="73" t="str">
        <f t="shared" si="2"/>
        <v/>
      </c>
      <c r="R73" s="73" t="str">
        <f t="shared" si="3"/>
        <v/>
      </c>
      <c r="S73" s="73" t="str">
        <f t="shared" si="4"/>
        <v/>
      </c>
      <c r="T73" s="73" t="str">
        <f t="shared" si="5"/>
        <v/>
      </c>
      <c r="AC73" s="46"/>
      <c r="AP73" s="192">
        <v>8048.25</v>
      </c>
      <c r="AQ73" s="192">
        <v>3.3982542788805019E-2</v>
      </c>
      <c r="AR73" s="192">
        <v>7911.5</v>
      </c>
      <c r="AS73" s="192">
        <v>8185</v>
      </c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</row>
    <row r="74" spans="2:55" ht="18" customHeight="1" x14ac:dyDescent="0.25">
      <c r="B74" s="239"/>
      <c r="C74" s="239"/>
      <c r="D74" s="166"/>
      <c r="E74" s="167"/>
      <c r="F74" s="166"/>
      <c r="G74" s="166"/>
      <c r="H74" s="166"/>
      <c r="I74" s="166"/>
      <c r="J74" s="71" t="s">
        <v>708</v>
      </c>
      <c r="K74" s="235"/>
      <c r="L74" s="235"/>
      <c r="M74" s="235"/>
      <c r="O74" s="72" t="str">
        <f t="shared" si="0"/>
        <v/>
      </c>
      <c r="P74" s="73" t="str">
        <f t="shared" si="1"/>
        <v/>
      </c>
      <c r="Q74" s="73" t="str">
        <f t="shared" si="2"/>
        <v/>
      </c>
      <c r="R74" s="73" t="str">
        <f t="shared" si="3"/>
        <v/>
      </c>
      <c r="S74" s="73" t="str">
        <f t="shared" si="4"/>
        <v/>
      </c>
      <c r="T74" s="73" t="str">
        <f t="shared" si="5"/>
        <v/>
      </c>
      <c r="AC74" s="46"/>
      <c r="AP74" s="192">
        <v>1776</v>
      </c>
      <c r="AQ74" s="192">
        <v>-2.5337837837837839E-2</v>
      </c>
      <c r="AR74" s="192">
        <v>1798.5</v>
      </c>
      <c r="AS74" s="192">
        <v>1753.5</v>
      </c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</row>
    <row r="75" spans="2:55" ht="18" customHeight="1" x14ac:dyDescent="0.25">
      <c r="B75" s="239"/>
      <c r="C75" s="239"/>
      <c r="D75" s="166"/>
      <c r="E75" s="11"/>
      <c r="F75" s="167"/>
      <c r="G75" s="166"/>
      <c r="H75" s="167"/>
      <c r="I75" s="166"/>
      <c r="J75" s="71" t="s">
        <v>708</v>
      </c>
      <c r="K75" s="235"/>
      <c r="L75" s="235"/>
      <c r="M75" s="235"/>
      <c r="O75" s="72" t="str">
        <f t="shared" si="0"/>
        <v/>
      </c>
      <c r="P75" s="73" t="str">
        <f t="shared" si="1"/>
        <v/>
      </c>
      <c r="Q75" s="73" t="str">
        <f t="shared" si="2"/>
        <v/>
      </c>
      <c r="R75" s="73" t="str">
        <f t="shared" si="3"/>
        <v/>
      </c>
      <c r="S75" s="73" t="str">
        <f t="shared" si="4"/>
        <v/>
      </c>
      <c r="T75" s="73" t="str">
        <f t="shared" si="5"/>
        <v/>
      </c>
      <c r="AC75" s="46"/>
      <c r="AP75" s="192">
        <v>6648.5</v>
      </c>
      <c r="AQ75" s="192">
        <v>4.3468451530420393E-2</v>
      </c>
      <c r="AR75" s="192">
        <v>6504</v>
      </c>
      <c r="AS75" s="192">
        <v>6793</v>
      </c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</row>
    <row r="76" spans="2:55" ht="18" customHeight="1" x14ac:dyDescent="0.25">
      <c r="B76" s="239"/>
      <c r="C76" s="239"/>
      <c r="D76" s="166"/>
      <c r="E76" s="11"/>
      <c r="F76" s="167"/>
      <c r="G76" s="166"/>
      <c r="H76" s="167"/>
      <c r="I76" s="166"/>
      <c r="J76" s="71" t="s">
        <v>708</v>
      </c>
      <c r="K76" s="235"/>
      <c r="L76" s="235"/>
      <c r="M76" s="235"/>
      <c r="O76" s="72" t="str">
        <f t="shared" si="0"/>
        <v/>
      </c>
      <c r="P76" s="73" t="str">
        <f t="shared" si="1"/>
        <v/>
      </c>
      <c r="Q76" s="73" t="str">
        <f t="shared" si="2"/>
        <v/>
      </c>
      <c r="R76" s="73" t="str">
        <f t="shared" si="3"/>
        <v/>
      </c>
      <c r="S76" s="73" t="str">
        <f t="shared" si="4"/>
        <v/>
      </c>
      <c r="T76" s="73" t="str">
        <f t="shared" si="5"/>
        <v/>
      </c>
      <c r="AP76" s="192">
        <v>9281.25</v>
      </c>
      <c r="AQ76" s="192">
        <v>-4.8538720538720541E-2</v>
      </c>
      <c r="AR76" s="192">
        <v>9506.5</v>
      </c>
      <c r="AS76" s="192">
        <v>9056</v>
      </c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</row>
    <row r="77" spans="2:55" ht="18" customHeight="1" x14ac:dyDescent="0.25">
      <c r="B77" s="239"/>
      <c r="C77" s="239"/>
      <c r="D77" s="166"/>
      <c r="E77" s="11"/>
      <c r="F77" s="166"/>
      <c r="G77" s="166"/>
      <c r="H77" s="166"/>
      <c r="I77" s="166"/>
      <c r="J77" s="71" t="s">
        <v>708</v>
      </c>
      <c r="K77" s="235"/>
      <c r="L77" s="235"/>
      <c r="M77" s="235"/>
      <c r="O77" s="72" t="str">
        <f t="shared" si="0"/>
        <v/>
      </c>
      <c r="P77" s="73" t="str">
        <f t="shared" si="1"/>
        <v/>
      </c>
      <c r="Q77" s="73" t="str">
        <f t="shared" si="2"/>
        <v/>
      </c>
      <c r="R77" s="73" t="str">
        <f t="shared" si="3"/>
        <v/>
      </c>
      <c r="S77" s="73" t="str">
        <f t="shared" si="4"/>
        <v/>
      </c>
      <c r="T77" s="73" t="str">
        <f t="shared" si="5"/>
        <v/>
      </c>
      <c r="AP77" s="192">
        <v>4752.75</v>
      </c>
      <c r="AQ77" s="192">
        <v>-1.1887854400084162E-2</v>
      </c>
      <c r="AR77" s="192">
        <v>4781</v>
      </c>
      <c r="AS77" s="192">
        <v>4724.5</v>
      </c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</row>
    <row r="78" spans="2:55" ht="18" customHeight="1" x14ac:dyDescent="0.25">
      <c r="B78" s="239"/>
      <c r="C78" s="239"/>
      <c r="D78" s="166"/>
      <c r="E78" s="167"/>
      <c r="F78" s="167"/>
      <c r="G78" s="166"/>
      <c r="H78" s="167"/>
      <c r="I78" s="166"/>
      <c r="J78" s="71" t="s">
        <v>708</v>
      </c>
      <c r="K78" s="235"/>
      <c r="L78" s="235"/>
      <c r="M78" s="235"/>
      <c r="O78" s="72" t="str">
        <f t="shared" si="0"/>
        <v/>
      </c>
      <c r="P78" s="73" t="str">
        <f t="shared" si="1"/>
        <v/>
      </c>
      <c r="Q78" s="73" t="str">
        <f t="shared" si="2"/>
        <v/>
      </c>
      <c r="R78" s="73" t="str">
        <f t="shared" si="3"/>
        <v/>
      </c>
      <c r="S78" s="73" t="str">
        <f t="shared" si="4"/>
        <v/>
      </c>
      <c r="T78" s="73" t="str">
        <f t="shared" si="5"/>
        <v/>
      </c>
      <c r="AP78" s="192">
        <v>2127.75</v>
      </c>
      <c r="AQ78" s="192">
        <v>5.4047702972623663E-3</v>
      </c>
      <c r="AR78" s="192">
        <v>2122</v>
      </c>
      <c r="AS78" s="192">
        <v>2133.5</v>
      </c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</row>
    <row r="79" spans="2:55" ht="18" customHeight="1" x14ac:dyDescent="0.25">
      <c r="B79" s="239"/>
      <c r="C79" s="239"/>
      <c r="D79" s="166"/>
      <c r="E79" s="11"/>
      <c r="F79" s="167"/>
      <c r="G79" s="166"/>
      <c r="H79" s="167"/>
      <c r="I79" s="166"/>
      <c r="J79" s="71" t="s">
        <v>708</v>
      </c>
      <c r="K79" s="235"/>
      <c r="L79" s="235"/>
      <c r="M79" s="235"/>
      <c r="O79" s="72" t="str">
        <f t="shared" si="0"/>
        <v/>
      </c>
      <c r="P79" s="73" t="str">
        <f t="shared" si="1"/>
        <v/>
      </c>
      <c r="Q79" s="73" t="str">
        <f t="shared" si="2"/>
        <v/>
      </c>
      <c r="R79" s="73" t="str">
        <f t="shared" si="3"/>
        <v/>
      </c>
      <c r="S79" s="73" t="str">
        <f t="shared" si="4"/>
        <v/>
      </c>
      <c r="T79" s="73" t="str">
        <f t="shared" si="5"/>
        <v/>
      </c>
      <c r="AD79" s="74"/>
      <c r="AE79" s="74"/>
      <c r="AF79" s="74"/>
      <c r="AG79" s="74"/>
      <c r="AH79" s="74"/>
      <c r="AI79" s="74"/>
      <c r="AP79" s="192">
        <v>17217.75</v>
      </c>
      <c r="AQ79" s="192">
        <v>-7.4487084549374916E-2</v>
      </c>
      <c r="AR79" s="192">
        <v>17859</v>
      </c>
      <c r="AS79" s="192">
        <v>16576.5</v>
      </c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</row>
    <row r="80" spans="2:55" ht="18" customHeight="1" x14ac:dyDescent="0.25">
      <c r="B80" s="239"/>
      <c r="C80" s="239"/>
      <c r="D80" s="166"/>
      <c r="E80" s="167"/>
      <c r="F80" s="167"/>
      <c r="G80" s="166"/>
      <c r="H80" s="167"/>
      <c r="I80" s="166"/>
      <c r="J80" s="71" t="s">
        <v>708</v>
      </c>
      <c r="K80" s="235"/>
      <c r="L80" s="235"/>
      <c r="M80" s="235"/>
      <c r="O80" s="72" t="str">
        <f t="shared" si="0"/>
        <v/>
      </c>
      <c r="P80" s="73" t="str">
        <f t="shared" si="1"/>
        <v/>
      </c>
      <c r="Q80" s="73" t="str">
        <f t="shared" si="2"/>
        <v/>
      </c>
      <c r="R80" s="73" t="str">
        <f t="shared" si="3"/>
        <v/>
      </c>
      <c r="S80" s="73" t="str">
        <f t="shared" si="4"/>
        <v/>
      </c>
      <c r="T80" s="73" t="str">
        <f t="shared" si="5"/>
        <v/>
      </c>
      <c r="AD80" s="74"/>
      <c r="AE80" s="74"/>
      <c r="AF80" s="74"/>
      <c r="AG80" s="74"/>
      <c r="AH80" s="74"/>
      <c r="AI80" s="74"/>
      <c r="AP80" s="192">
        <v>7085.25</v>
      </c>
      <c r="AQ80" s="192">
        <v>5.9983769097773547E-3</v>
      </c>
      <c r="AR80" s="192">
        <v>7064</v>
      </c>
      <c r="AS80" s="192">
        <v>7106.5</v>
      </c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</row>
    <row r="81" spans="2:55" ht="18" customHeight="1" x14ac:dyDescent="0.25">
      <c r="B81" s="239"/>
      <c r="C81" s="239"/>
      <c r="D81" s="166"/>
      <c r="E81" s="167"/>
      <c r="F81" s="166"/>
      <c r="G81" s="166"/>
      <c r="H81" s="166"/>
      <c r="I81" s="166"/>
      <c r="J81" s="71" t="s">
        <v>708</v>
      </c>
      <c r="K81" s="235"/>
      <c r="L81" s="235"/>
      <c r="M81" s="235"/>
      <c r="O81" s="72" t="str">
        <f t="shared" si="0"/>
        <v/>
      </c>
      <c r="P81" s="73" t="str">
        <f t="shared" si="1"/>
        <v/>
      </c>
      <c r="Q81" s="73" t="str">
        <f t="shared" si="2"/>
        <v/>
      </c>
      <c r="R81" s="73" t="str">
        <f t="shared" si="3"/>
        <v/>
      </c>
      <c r="S81" s="73" t="str">
        <f t="shared" si="4"/>
        <v/>
      </c>
      <c r="T81" s="73" t="str">
        <f t="shared" si="5"/>
        <v/>
      </c>
      <c r="AD81" s="74"/>
      <c r="AE81" s="74"/>
      <c r="AF81" s="74"/>
      <c r="AG81" s="74"/>
      <c r="AH81" s="74"/>
      <c r="AI81" s="74"/>
      <c r="AP81" s="192">
        <v>975</v>
      </c>
      <c r="AQ81" s="192">
        <v>2.3589743589743591E-2</v>
      </c>
      <c r="AR81" s="192">
        <v>963.5</v>
      </c>
      <c r="AS81" s="192">
        <v>986.5</v>
      </c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</row>
    <row r="82" spans="2:55" ht="18" customHeight="1" x14ac:dyDescent="0.25">
      <c r="B82" s="239"/>
      <c r="C82" s="239"/>
      <c r="D82" s="166"/>
      <c r="E82" s="167"/>
      <c r="F82" s="166"/>
      <c r="G82" s="166"/>
      <c r="H82" s="166"/>
      <c r="I82" s="166"/>
      <c r="J82" s="71" t="s">
        <v>708</v>
      </c>
      <c r="K82" s="235"/>
      <c r="L82" s="235"/>
      <c r="M82" s="235"/>
      <c r="O82" s="72" t="str">
        <f t="shared" si="0"/>
        <v/>
      </c>
      <c r="P82" s="73" t="str">
        <f t="shared" si="1"/>
        <v/>
      </c>
      <c r="Q82" s="73" t="str">
        <f t="shared" si="2"/>
        <v/>
      </c>
      <c r="R82" s="73" t="str">
        <f t="shared" si="3"/>
        <v/>
      </c>
      <c r="S82" s="73" t="str">
        <f t="shared" si="4"/>
        <v/>
      </c>
      <c r="T82" s="73" t="str">
        <f t="shared" si="5"/>
        <v/>
      </c>
      <c r="AD82" s="74"/>
      <c r="AE82" s="74"/>
      <c r="AF82" s="74"/>
      <c r="AG82" s="74"/>
      <c r="AH82" s="74"/>
      <c r="AI82" s="74"/>
      <c r="AP82" s="192">
        <v>444.75</v>
      </c>
      <c r="AQ82" s="192">
        <v>0.16301292861157954</v>
      </c>
      <c r="AR82" s="192">
        <v>408.5</v>
      </c>
      <c r="AS82" s="192">
        <v>481</v>
      </c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</row>
    <row r="83" spans="2:55" ht="18" customHeight="1" x14ac:dyDescent="0.25">
      <c r="B83" s="239"/>
      <c r="C83" s="239"/>
      <c r="D83" s="166"/>
      <c r="E83" s="167"/>
      <c r="F83" s="167"/>
      <c r="G83" s="166"/>
      <c r="H83" s="167"/>
      <c r="I83" s="166"/>
      <c r="J83" s="71" t="s">
        <v>708</v>
      </c>
      <c r="K83" s="235"/>
      <c r="L83" s="235"/>
      <c r="M83" s="235"/>
      <c r="O83" s="72" t="str">
        <f t="shared" si="0"/>
        <v/>
      </c>
      <c r="P83" s="73" t="str">
        <f t="shared" si="1"/>
        <v/>
      </c>
      <c r="Q83" s="73" t="str">
        <f t="shared" si="2"/>
        <v/>
      </c>
      <c r="R83" s="73" t="str">
        <f t="shared" si="3"/>
        <v/>
      </c>
      <c r="S83" s="73" t="str">
        <f t="shared" si="4"/>
        <v/>
      </c>
      <c r="T83" s="73" t="str">
        <f t="shared" si="5"/>
        <v/>
      </c>
      <c r="AD83" s="74"/>
      <c r="AE83" s="74"/>
      <c r="AF83" s="74"/>
      <c r="AG83" s="74"/>
      <c r="AH83" s="74"/>
      <c r="AI83" s="74"/>
      <c r="AP83" s="192">
        <v>5613</v>
      </c>
      <c r="AQ83" s="192">
        <v>-3.5631569570639585E-3</v>
      </c>
      <c r="AR83" s="192">
        <v>5623</v>
      </c>
      <c r="AS83" s="192">
        <v>5603</v>
      </c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</row>
    <row r="84" spans="2:55" ht="18" customHeight="1" x14ac:dyDescent="0.25">
      <c r="B84" s="239"/>
      <c r="C84" s="239"/>
      <c r="D84" s="166"/>
      <c r="E84" s="167"/>
      <c r="F84" s="167"/>
      <c r="G84" s="166"/>
      <c r="H84" s="167"/>
      <c r="I84" s="166"/>
      <c r="J84" s="71" t="s">
        <v>708</v>
      </c>
      <c r="K84" s="235"/>
      <c r="L84" s="235"/>
      <c r="M84" s="235"/>
      <c r="O84" s="72" t="str">
        <f t="shared" si="0"/>
        <v/>
      </c>
      <c r="P84" s="73" t="str">
        <f t="shared" si="1"/>
        <v/>
      </c>
      <c r="Q84" s="73" t="str">
        <f t="shared" si="2"/>
        <v/>
      </c>
      <c r="R84" s="73" t="str">
        <f t="shared" si="3"/>
        <v/>
      </c>
      <c r="S84" s="73" t="str">
        <f t="shared" si="4"/>
        <v/>
      </c>
      <c r="T84" s="73" t="str">
        <f t="shared" si="5"/>
        <v/>
      </c>
      <c r="AD84" s="74"/>
      <c r="AE84" s="74"/>
      <c r="AF84" s="74"/>
      <c r="AG84" s="74"/>
      <c r="AH84" s="74"/>
      <c r="AI84" s="74"/>
      <c r="AP84" s="192">
        <v>4984.75</v>
      </c>
      <c r="AQ84" s="192">
        <v>2.4574953608505944E-2</v>
      </c>
      <c r="AR84" s="192">
        <v>4923.5</v>
      </c>
      <c r="AS84" s="192">
        <v>5046</v>
      </c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</row>
    <row r="85" spans="2:55" ht="18" customHeight="1" x14ac:dyDescent="0.25">
      <c r="B85" s="239"/>
      <c r="C85" s="239"/>
      <c r="D85" s="166"/>
      <c r="E85" s="167"/>
      <c r="F85" s="167"/>
      <c r="G85" s="166"/>
      <c r="H85" s="167"/>
      <c r="I85" s="166"/>
      <c r="J85" s="71" t="s">
        <v>708</v>
      </c>
      <c r="K85" s="235"/>
      <c r="L85" s="235"/>
      <c r="M85" s="235"/>
      <c r="O85" s="72" t="str">
        <f t="shared" si="0"/>
        <v/>
      </c>
      <c r="P85" s="73" t="str">
        <f t="shared" si="1"/>
        <v/>
      </c>
      <c r="Q85" s="73" t="str">
        <f t="shared" si="2"/>
        <v/>
      </c>
      <c r="R85" s="73" t="str">
        <f t="shared" si="3"/>
        <v/>
      </c>
      <c r="S85" s="73" t="str">
        <f t="shared" si="4"/>
        <v/>
      </c>
      <c r="T85" s="73" t="str">
        <f t="shared" si="5"/>
        <v/>
      </c>
      <c r="AP85" s="192">
        <v>2772.25</v>
      </c>
      <c r="AQ85" s="192">
        <v>1.9659121652087653E-2</v>
      </c>
      <c r="AR85" s="192">
        <v>2745</v>
      </c>
      <c r="AS85" s="192">
        <v>2799.5</v>
      </c>
      <c r="AT85" s="192"/>
      <c r="AU85" s="192"/>
      <c r="AV85" s="192"/>
      <c r="AW85" s="192"/>
      <c r="AX85" s="192"/>
      <c r="AY85" s="192"/>
      <c r="AZ85" s="192"/>
      <c r="BA85" s="192"/>
      <c r="BB85" s="192"/>
      <c r="BC85" s="192"/>
    </row>
    <row r="86" spans="2:55" ht="18" customHeight="1" x14ac:dyDescent="0.25">
      <c r="B86" s="239"/>
      <c r="C86" s="239"/>
      <c r="D86" s="166"/>
      <c r="E86" s="167"/>
      <c r="F86" s="167"/>
      <c r="G86" s="166"/>
      <c r="H86" s="167"/>
      <c r="I86" s="166"/>
      <c r="J86" s="71" t="s">
        <v>708</v>
      </c>
      <c r="K86" s="235"/>
      <c r="L86" s="235"/>
      <c r="M86" s="235"/>
      <c r="O86" s="72" t="str">
        <f t="shared" si="0"/>
        <v/>
      </c>
      <c r="P86" s="73" t="str">
        <f t="shared" si="1"/>
        <v/>
      </c>
      <c r="Q86" s="73" t="str">
        <f t="shared" si="2"/>
        <v/>
      </c>
      <c r="R86" s="73" t="str">
        <f t="shared" si="3"/>
        <v/>
      </c>
      <c r="S86" s="73" t="str">
        <f t="shared" si="4"/>
        <v/>
      </c>
      <c r="T86" s="73" t="str">
        <f t="shared" si="5"/>
        <v/>
      </c>
      <c r="AP86" s="192">
        <v>1730</v>
      </c>
      <c r="AQ86" s="192">
        <v>-9.8265895953757246E-3</v>
      </c>
      <c r="AR86" s="192">
        <v>1738.5</v>
      </c>
      <c r="AS86" s="192">
        <v>1721.5</v>
      </c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</row>
    <row r="87" spans="2:55" ht="18" customHeight="1" x14ac:dyDescent="0.25">
      <c r="B87" s="239"/>
      <c r="C87" s="239"/>
      <c r="D87" s="166"/>
      <c r="E87" s="167"/>
      <c r="F87" s="167"/>
      <c r="G87" s="166"/>
      <c r="H87" s="167"/>
      <c r="I87" s="166"/>
      <c r="J87" s="71" t="s">
        <v>708</v>
      </c>
      <c r="K87" s="235"/>
      <c r="L87" s="235"/>
      <c r="M87" s="235"/>
      <c r="O87" s="72" t="str">
        <f t="shared" si="0"/>
        <v/>
      </c>
      <c r="P87" s="73" t="str">
        <f t="shared" si="1"/>
        <v/>
      </c>
      <c r="Q87" s="73" t="str">
        <f t="shared" si="2"/>
        <v/>
      </c>
      <c r="R87" s="73" t="str">
        <f t="shared" si="3"/>
        <v/>
      </c>
      <c r="S87" s="73" t="str">
        <f t="shared" si="4"/>
        <v/>
      </c>
      <c r="T87" s="73" t="str">
        <f t="shared" si="5"/>
        <v/>
      </c>
      <c r="AP87" s="192">
        <v>7302.25</v>
      </c>
      <c r="AQ87" s="192">
        <v>6.7171077407648327E-2</v>
      </c>
      <c r="AR87" s="192">
        <v>7057</v>
      </c>
      <c r="AS87" s="192">
        <v>7547.5</v>
      </c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</row>
    <row r="88" spans="2:55" ht="18" customHeight="1" x14ac:dyDescent="0.25">
      <c r="B88" s="239"/>
      <c r="C88" s="239"/>
      <c r="D88" s="166"/>
      <c r="E88" s="167"/>
      <c r="F88" s="167"/>
      <c r="G88" s="166"/>
      <c r="H88" s="167"/>
      <c r="I88" s="166"/>
      <c r="J88" s="71" t="s">
        <v>708</v>
      </c>
      <c r="K88" s="235"/>
      <c r="L88" s="235"/>
      <c r="M88" s="235"/>
      <c r="O88" s="72" t="str">
        <f t="shared" si="0"/>
        <v/>
      </c>
      <c r="P88" s="73" t="str">
        <f t="shared" si="1"/>
        <v/>
      </c>
      <c r="Q88" s="73" t="str">
        <f t="shared" si="2"/>
        <v/>
      </c>
      <c r="R88" s="73" t="str">
        <f t="shared" si="3"/>
        <v/>
      </c>
      <c r="S88" s="73" t="str">
        <f t="shared" si="4"/>
        <v/>
      </c>
      <c r="T88" s="73" t="str">
        <f t="shared" si="5"/>
        <v/>
      </c>
      <c r="AP88" s="192">
        <v>3005.5</v>
      </c>
      <c r="AQ88" s="192">
        <v>2.6617867243387125E-3</v>
      </c>
      <c r="AR88" s="192">
        <v>3001.5</v>
      </c>
      <c r="AS88" s="192">
        <v>3009.5</v>
      </c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</row>
    <row r="89" spans="2:55" ht="18" customHeight="1" x14ac:dyDescent="0.25">
      <c r="B89" s="239"/>
      <c r="C89" s="239"/>
      <c r="D89" s="166"/>
      <c r="E89" s="167"/>
      <c r="F89" s="166"/>
      <c r="G89" s="166"/>
      <c r="H89" s="166"/>
      <c r="I89" s="166"/>
      <c r="J89" s="71" t="s">
        <v>708</v>
      </c>
      <c r="K89" s="235"/>
      <c r="L89" s="235"/>
      <c r="M89" s="235"/>
      <c r="O89" s="72" t="str">
        <f t="shared" si="0"/>
        <v/>
      </c>
      <c r="P89" s="73" t="str">
        <f t="shared" si="1"/>
        <v/>
      </c>
      <c r="Q89" s="73" t="str">
        <f t="shared" si="2"/>
        <v/>
      </c>
      <c r="R89" s="73" t="str">
        <f t="shared" si="3"/>
        <v/>
      </c>
      <c r="S89" s="73" t="str">
        <f t="shared" si="4"/>
        <v/>
      </c>
      <c r="T89" s="73" t="str">
        <f t="shared" si="5"/>
        <v/>
      </c>
      <c r="AP89" s="192">
        <v>941</v>
      </c>
      <c r="AQ89" s="192">
        <v>9.6705632306057401E-2</v>
      </c>
      <c r="AR89" s="192">
        <v>895.5</v>
      </c>
      <c r="AS89" s="192">
        <v>986.5</v>
      </c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</row>
    <row r="90" spans="2:55" ht="18" customHeight="1" x14ac:dyDescent="0.25">
      <c r="B90" s="239"/>
      <c r="C90" s="239"/>
      <c r="D90" s="166"/>
      <c r="E90" s="11"/>
      <c r="F90" s="167"/>
      <c r="G90" s="166"/>
      <c r="H90" s="167"/>
      <c r="I90" s="166"/>
      <c r="J90" s="71" t="s">
        <v>708</v>
      </c>
      <c r="K90" s="235"/>
      <c r="L90" s="235"/>
      <c r="M90" s="235"/>
      <c r="O90" s="72" t="str">
        <f t="shared" si="0"/>
        <v/>
      </c>
      <c r="P90" s="73" t="str">
        <f t="shared" si="1"/>
        <v/>
      </c>
      <c r="Q90" s="73" t="str">
        <f t="shared" si="2"/>
        <v/>
      </c>
      <c r="R90" s="73" t="str">
        <f t="shared" si="3"/>
        <v/>
      </c>
      <c r="S90" s="73" t="str">
        <f t="shared" si="4"/>
        <v/>
      </c>
      <c r="T90" s="73" t="str">
        <f t="shared" si="5"/>
        <v/>
      </c>
      <c r="AP90" s="192">
        <v>11933.75</v>
      </c>
      <c r="AQ90" s="192">
        <v>-3.716350686079397E-2</v>
      </c>
      <c r="AR90" s="192">
        <v>12155.5</v>
      </c>
      <c r="AS90" s="192">
        <v>11712</v>
      </c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</row>
    <row r="91" spans="2:55" ht="18" customHeight="1" x14ac:dyDescent="0.25">
      <c r="B91" s="239"/>
      <c r="C91" s="239"/>
      <c r="D91" s="166"/>
      <c r="E91" s="167"/>
      <c r="F91" s="167"/>
      <c r="G91" s="166"/>
      <c r="H91" s="167"/>
      <c r="I91" s="166"/>
      <c r="J91" s="71" t="s">
        <v>708</v>
      </c>
      <c r="K91" s="235"/>
      <c r="L91" s="235"/>
      <c r="M91" s="235"/>
      <c r="O91" s="72" t="str">
        <f t="shared" si="0"/>
        <v/>
      </c>
      <c r="P91" s="73" t="str">
        <f t="shared" si="1"/>
        <v/>
      </c>
      <c r="Q91" s="73" t="str">
        <f t="shared" si="2"/>
        <v/>
      </c>
      <c r="R91" s="73" t="str">
        <f t="shared" si="3"/>
        <v/>
      </c>
      <c r="S91" s="73" t="str">
        <f t="shared" si="4"/>
        <v/>
      </c>
      <c r="T91" s="73" t="str">
        <f t="shared" si="5"/>
        <v/>
      </c>
      <c r="AP91" s="192">
        <v>1353.25</v>
      </c>
      <c r="AQ91" s="192">
        <v>9.2739700720487719E-2</v>
      </c>
      <c r="AR91" s="192">
        <v>1290.5</v>
      </c>
      <c r="AS91" s="192">
        <v>1416</v>
      </c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</row>
    <row r="92" spans="2:55" ht="18" customHeight="1" x14ac:dyDescent="0.25">
      <c r="B92" s="239"/>
      <c r="C92" s="239"/>
      <c r="D92" s="166"/>
      <c r="E92" s="167"/>
      <c r="F92" s="166"/>
      <c r="G92" s="166"/>
      <c r="H92" s="166"/>
      <c r="I92" s="166"/>
      <c r="J92" s="71" t="s">
        <v>708</v>
      </c>
      <c r="K92" s="235"/>
      <c r="L92" s="235"/>
      <c r="M92" s="235"/>
      <c r="O92" s="72" t="str">
        <f t="shared" si="0"/>
        <v/>
      </c>
      <c r="P92" s="73" t="str">
        <f t="shared" si="1"/>
        <v/>
      </c>
      <c r="Q92" s="73" t="str">
        <f t="shared" si="2"/>
        <v/>
      </c>
      <c r="R92" s="73" t="str">
        <f t="shared" si="3"/>
        <v/>
      </c>
      <c r="S92" s="73" t="str">
        <f t="shared" si="4"/>
        <v/>
      </c>
      <c r="T92" s="73" t="str">
        <f t="shared" si="5"/>
        <v/>
      </c>
      <c r="AP92" s="192">
        <v>970.75</v>
      </c>
      <c r="AQ92" s="192">
        <v>5.7172289466907028E-2</v>
      </c>
      <c r="AR92" s="192">
        <v>943</v>
      </c>
      <c r="AS92" s="192">
        <v>998.5</v>
      </c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</row>
    <row r="93" spans="2:55" ht="18" customHeight="1" x14ac:dyDescent="0.25">
      <c r="B93" s="239"/>
      <c r="C93" s="239"/>
      <c r="D93" s="166"/>
      <c r="E93" s="167"/>
      <c r="F93" s="167"/>
      <c r="G93" s="166"/>
      <c r="H93" s="167"/>
      <c r="I93" s="166"/>
      <c r="J93" s="71" t="s">
        <v>708</v>
      </c>
      <c r="K93" s="235"/>
      <c r="L93" s="235"/>
      <c r="M93" s="235"/>
      <c r="O93" s="72" t="str">
        <f t="shared" si="0"/>
        <v/>
      </c>
      <c r="P93" s="73" t="str">
        <f t="shared" si="1"/>
        <v/>
      </c>
      <c r="Q93" s="73" t="str">
        <f t="shared" si="2"/>
        <v/>
      </c>
      <c r="R93" s="73" t="str">
        <f t="shared" si="3"/>
        <v/>
      </c>
      <c r="S93" s="73" t="str">
        <f t="shared" si="4"/>
        <v/>
      </c>
      <c r="T93" s="73" t="str">
        <f t="shared" si="5"/>
        <v/>
      </c>
      <c r="AP93" s="192">
        <v>11505.5</v>
      </c>
      <c r="AQ93" s="192">
        <v>3.3549172135065836E-2</v>
      </c>
      <c r="AR93" s="192">
        <v>11312.5</v>
      </c>
      <c r="AS93" s="192">
        <v>11698.5</v>
      </c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</row>
    <row r="94" spans="2:55" ht="18" customHeight="1" x14ac:dyDescent="0.25">
      <c r="B94" s="239"/>
      <c r="C94" s="239"/>
      <c r="D94" s="166"/>
      <c r="E94" s="167"/>
      <c r="F94" s="167"/>
      <c r="G94" s="166"/>
      <c r="H94" s="167"/>
      <c r="I94" s="166"/>
      <c r="J94" s="71" t="s">
        <v>708</v>
      </c>
      <c r="K94" s="235"/>
      <c r="L94" s="235"/>
      <c r="M94" s="235"/>
      <c r="O94" s="72" t="str">
        <f t="shared" si="0"/>
        <v/>
      </c>
      <c r="P94" s="73" t="str">
        <f t="shared" si="1"/>
        <v/>
      </c>
      <c r="Q94" s="73" t="str">
        <f t="shared" si="2"/>
        <v/>
      </c>
      <c r="R94" s="73" t="str">
        <f t="shared" si="3"/>
        <v/>
      </c>
      <c r="S94" s="73" t="str">
        <f t="shared" si="4"/>
        <v/>
      </c>
      <c r="T94" s="73" t="str">
        <f t="shared" si="5"/>
        <v/>
      </c>
      <c r="AP94" s="192">
        <v>2764.5</v>
      </c>
      <c r="AQ94" s="192">
        <v>4.6663049376017361E-2</v>
      </c>
      <c r="AR94" s="192">
        <v>2700</v>
      </c>
      <c r="AS94" s="192">
        <v>2829</v>
      </c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</row>
    <row r="95" spans="2:55" ht="18" customHeight="1" x14ac:dyDescent="0.25">
      <c r="B95" s="239"/>
      <c r="C95" s="239"/>
      <c r="D95" s="166"/>
      <c r="E95" s="11"/>
      <c r="F95" s="166"/>
      <c r="G95" s="166"/>
      <c r="H95" s="166"/>
      <c r="I95" s="166"/>
      <c r="J95" s="71" t="s">
        <v>708</v>
      </c>
      <c r="K95" s="235"/>
      <c r="L95" s="235"/>
      <c r="M95" s="235"/>
      <c r="O95" s="72" t="str">
        <f t="shared" si="0"/>
        <v/>
      </c>
      <c r="P95" s="73" t="str">
        <f t="shared" si="1"/>
        <v/>
      </c>
      <c r="Q95" s="73" t="str">
        <f t="shared" si="2"/>
        <v/>
      </c>
      <c r="R95" s="73" t="str">
        <f t="shared" si="3"/>
        <v/>
      </c>
      <c r="S95" s="73" t="str">
        <f t="shared" si="4"/>
        <v/>
      </c>
      <c r="T95" s="73" t="str">
        <f t="shared" si="5"/>
        <v/>
      </c>
      <c r="AP95" s="192">
        <v>3668.75</v>
      </c>
      <c r="AQ95" s="192">
        <v>5.8739352640545146E-2</v>
      </c>
      <c r="AR95" s="192">
        <v>3561</v>
      </c>
      <c r="AS95" s="192">
        <v>3776.5</v>
      </c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</row>
    <row r="96" spans="2:55" ht="18" customHeight="1" x14ac:dyDescent="0.25">
      <c r="B96" s="239"/>
      <c r="C96" s="239"/>
      <c r="D96" s="166"/>
      <c r="E96" s="167"/>
      <c r="F96" s="167"/>
      <c r="G96" s="166"/>
      <c r="H96" s="167"/>
      <c r="I96" s="166"/>
      <c r="J96" s="71" t="s">
        <v>708</v>
      </c>
      <c r="K96" s="235"/>
      <c r="L96" s="235"/>
      <c r="M96" s="235"/>
      <c r="O96" s="72" t="str">
        <f t="shared" si="0"/>
        <v/>
      </c>
      <c r="P96" s="73" t="str">
        <f t="shared" si="1"/>
        <v/>
      </c>
      <c r="Q96" s="73" t="str">
        <f t="shared" si="2"/>
        <v/>
      </c>
      <c r="R96" s="73" t="str">
        <f t="shared" si="3"/>
        <v/>
      </c>
      <c r="S96" s="73" t="str">
        <f t="shared" si="4"/>
        <v/>
      </c>
      <c r="T96" s="73" t="str">
        <f t="shared" si="5"/>
        <v/>
      </c>
      <c r="AP96" s="192">
        <v>1805</v>
      </c>
      <c r="AQ96" s="192">
        <v>0.10415512465373961</v>
      </c>
      <c r="AR96" s="192">
        <v>1711</v>
      </c>
      <c r="AS96" s="192">
        <v>1899</v>
      </c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</row>
    <row r="97" spans="2:55" ht="18" customHeight="1" x14ac:dyDescent="0.25">
      <c r="B97" s="239"/>
      <c r="C97" s="239"/>
      <c r="D97" s="166"/>
      <c r="E97" s="167"/>
      <c r="F97" s="167"/>
      <c r="G97" s="166"/>
      <c r="H97" s="167"/>
      <c r="I97" s="166"/>
      <c r="J97" s="71" t="s">
        <v>708</v>
      </c>
      <c r="K97" s="235"/>
      <c r="L97" s="235"/>
      <c r="M97" s="235"/>
      <c r="O97" s="72" t="str">
        <f t="shared" si="0"/>
        <v/>
      </c>
      <c r="P97" s="73" t="str">
        <f t="shared" si="1"/>
        <v/>
      </c>
      <c r="Q97" s="73" t="str">
        <f t="shared" si="2"/>
        <v/>
      </c>
      <c r="R97" s="73" t="str">
        <f t="shared" si="3"/>
        <v/>
      </c>
      <c r="S97" s="73" t="str">
        <f t="shared" si="4"/>
        <v/>
      </c>
      <c r="T97" s="73" t="str">
        <f t="shared" si="5"/>
        <v/>
      </c>
      <c r="AP97" s="192">
        <v>1024</v>
      </c>
      <c r="AQ97" s="192">
        <v>3.515625E-2</v>
      </c>
      <c r="AR97" s="192">
        <v>1006</v>
      </c>
      <c r="AS97" s="192">
        <v>1042</v>
      </c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</row>
    <row r="98" spans="2:55" ht="18" customHeight="1" x14ac:dyDescent="0.25">
      <c r="B98" s="239"/>
      <c r="C98" s="239"/>
      <c r="D98" s="166"/>
      <c r="E98" s="167"/>
      <c r="F98" s="167"/>
      <c r="G98" s="166"/>
      <c r="H98" s="167"/>
      <c r="I98" s="166"/>
      <c r="J98" s="71" t="s">
        <v>708</v>
      </c>
      <c r="K98" s="235"/>
      <c r="L98" s="235"/>
      <c r="M98" s="235"/>
      <c r="O98" s="72" t="str">
        <f t="shared" si="0"/>
        <v/>
      </c>
      <c r="P98" s="73" t="str">
        <f t="shared" si="1"/>
        <v/>
      </c>
      <c r="Q98" s="73" t="str">
        <f t="shared" si="2"/>
        <v/>
      </c>
      <c r="R98" s="73" t="str">
        <f t="shared" si="3"/>
        <v/>
      </c>
      <c r="S98" s="73" t="str">
        <f t="shared" si="4"/>
        <v/>
      </c>
      <c r="T98" s="73" t="str">
        <f t="shared" si="5"/>
        <v/>
      </c>
      <c r="AP98" s="192">
        <v>1398.25</v>
      </c>
      <c r="AQ98" s="192">
        <v>0.31146075451457178</v>
      </c>
      <c r="AR98" s="192">
        <v>1180.5</v>
      </c>
      <c r="AS98" s="192">
        <v>1616</v>
      </c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</row>
    <row r="99" spans="2:55" ht="18" customHeight="1" x14ac:dyDescent="0.25">
      <c r="B99" s="239"/>
      <c r="C99" s="239"/>
      <c r="D99" s="166"/>
      <c r="E99" s="167"/>
      <c r="F99" s="167"/>
      <c r="G99" s="166"/>
      <c r="H99" s="167"/>
      <c r="I99" s="166"/>
      <c r="J99" s="71" t="s">
        <v>708</v>
      </c>
      <c r="K99" s="235"/>
      <c r="L99" s="235"/>
      <c r="M99" s="235"/>
      <c r="O99" s="72" t="str">
        <f t="shared" si="0"/>
        <v/>
      </c>
      <c r="P99" s="73" t="str">
        <f t="shared" si="1"/>
        <v/>
      </c>
      <c r="Q99" s="73" t="str">
        <f t="shared" si="2"/>
        <v/>
      </c>
      <c r="R99" s="73" t="str">
        <f t="shared" si="3"/>
        <v/>
      </c>
      <c r="S99" s="73" t="str">
        <f t="shared" si="4"/>
        <v/>
      </c>
      <c r="T99" s="73" t="str">
        <f t="shared" si="5"/>
        <v/>
      </c>
      <c r="AP99" s="192">
        <v>9193.75</v>
      </c>
      <c r="AQ99" s="192">
        <v>4.0625424881033309E-2</v>
      </c>
      <c r="AR99" s="192">
        <v>9007</v>
      </c>
      <c r="AS99" s="192">
        <v>9380.5</v>
      </c>
      <c r="AT99" s="192"/>
      <c r="AU99" s="192"/>
      <c r="AV99" s="192"/>
      <c r="AW99" s="192"/>
      <c r="AX99" s="192"/>
      <c r="AY99" s="192"/>
      <c r="AZ99" s="192"/>
      <c r="BA99" s="192"/>
      <c r="BB99" s="192"/>
      <c r="BC99" s="192"/>
    </row>
    <row r="100" spans="2:55" ht="18" customHeight="1" x14ac:dyDescent="0.25">
      <c r="B100" s="239"/>
      <c r="C100" s="239"/>
      <c r="D100" s="166"/>
      <c r="E100" s="167"/>
      <c r="F100" s="167"/>
      <c r="G100" s="166"/>
      <c r="H100" s="167"/>
      <c r="I100" s="166"/>
      <c r="J100" s="71" t="s">
        <v>708</v>
      </c>
      <c r="K100" s="235"/>
      <c r="L100" s="235"/>
      <c r="M100" s="235"/>
      <c r="O100" s="72" t="str">
        <f t="shared" si="0"/>
        <v/>
      </c>
      <c r="P100" s="73" t="str">
        <f t="shared" si="1"/>
        <v/>
      </c>
      <c r="Q100" s="73" t="str">
        <f t="shared" si="2"/>
        <v/>
      </c>
      <c r="R100" s="73" t="str">
        <f t="shared" si="3"/>
        <v/>
      </c>
      <c r="S100" s="73" t="str">
        <f t="shared" si="4"/>
        <v/>
      </c>
      <c r="T100" s="73" t="str">
        <f t="shared" si="5"/>
        <v/>
      </c>
      <c r="AP100" s="192">
        <v>4385.25</v>
      </c>
      <c r="AQ100" s="192">
        <v>-2.4057921441194913E-2</v>
      </c>
      <c r="AR100" s="192">
        <v>4438</v>
      </c>
      <c r="AS100" s="192">
        <v>4332.5</v>
      </c>
      <c r="AT100" s="192"/>
      <c r="AU100" s="192"/>
      <c r="AV100" s="192"/>
      <c r="AW100" s="192"/>
      <c r="AX100" s="192"/>
      <c r="AY100" s="192"/>
      <c r="AZ100" s="192"/>
      <c r="BA100" s="192"/>
      <c r="BB100" s="192"/>
      <c r="BC100" s="192"/>
    </row>
    <row r="101" spans="2:55" ht="18" customHeight="1" x14ac:dyDescent="0.25">
      <c r="B101" s="234"/>
      <c r="C101" s="234"/>
      <c r="D101" s="166"/>
      <c r="E101" s="167"/>
      <c r="F101" s="167"/>
      <c r="G101" s="166"/>
      <c r="H101" s="167"/>
      <c r="I101" s="166"/>
      <c r="J101" s="71" t="str">
        <f>IF(ISERROR(VLOOKUP(#REF!,#REF!,2,FALSE)),"EXCLUDE",VLOOKUP(#REF!,#REF!,2,FALSE))</f>
        <v>EXCLUDE</v>
      </c>
      <c r="K101" s="235"/>
      <c r="L101" s="235"/>
      <c r="M101" s="235"/>
      <c r="O101" s="72" t="str">
        <f t="shared" si="0"/>
        <v/>
      </c>
      <c r="P101" s="73" t="str">
        <f t="shared" si="1"/>
        <v/>
      </c>
      <c r="Q101" s="73" t="str">
        <f t="shared" si="2"/>
        <v/>
      </c>
      <c r="R101" s="73" t="str">
        <f t="shared" si="3"/>
        <v/>
      </c>
      <c r="S101" s="73" t="str">
        <f t="shared" si="4"/>
        <v/>
      </c>
      <c r="T101" s="73" t="str">
        <f t="shared" si="5"/>
        <v/>
      </c>
      <c r="AP101" s="192">
        <v>3457.25</v>
      </c>
      <c r="AQ101" s="192">
        <v>-8.6051052136813938E-2</v>
      </c>
      <c r="AR101" s="192">
        <v>3606</v>
      </c>
      <c r="AS101" s="192">
        <v>3308.5</v>
      </c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</row>
    <row r="102" spans="2:55" ht="18" customHeight="1" x14ac:dyDescent="0.25">
      <c r="B102" s="234"/>
      <c r="C102" s="234"/>
      <c r="D102" s="166"/>
      <c r="E102" s="167"/>
      <c r="F102" s="167"/>
      <c r="G102" s="166"/>
      <c r="H102" s="167"/>
      <c r="I102" s="166"/>
      <c r="J102" s="71" t="str">
        <f>IF(ISERROR(VLOOKUP(#REF!,#REF!,2,FALSE)),"EXCLUDE",VLOOKUP(#REF!,#REF!,2,FALSE))</f>
        <v>EXCLUDE</v>
      </c>
      <c r="K102" s="235"/>
      <c r="L102" s="235"/>
      <c r="M102" s="235"/>
      <c r="O102" s="72" t="str">
        <f t="shared" si="0"/>
        <v/>
      </c>
      <c r="P102" s="73" t="str">
        <f t="shared" si="1"/>
        <v/>
      </c>
      <c r="Q102" s="73" t="str">
        <f t="shared" si="2"/>
        <v/>
      </c>
      <c r="R102" s="73" t="str">
        <f t="shared" si="3"/>
        <v/>
      </c>
      <c r="S102" s="73" t="str">
        <f t="shared" si="4"/>
        <v/>
      </c>
      <c r="T102" s="73" t="str">
        <f t="shared" si="5"/>
        <v/>
      </c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</row>
    <row r="103" spans="2:55" ht="18" customHeight="1" x14ac:dyDescent="0.25">
      <c r="B103" s="234"/>
      <c r="C103" s="234"/>
      <c r="D103" s="166"/>
      <c r="E103" s="167"/>
      <c r="F103" s="167"/>
      <c r="G103" s="166"/>
      <c r="H103" s="167"/>
      <c r="I103" s="166"/>
      <c r="J103" s="71" t="str">
        <f>IF(ISERROR(VLOOKUP(#REF!,#REF!,2,FALSE)),"EXCLUDE",VLOOKUP(#REF!,#REF!,2,FALSE))</f>
        <v>EXCLUDE</v>
      </c>
      <c r="K103" s="235"/>
      <c r="L103" s="235"/>
      <c r="M103" s="235"/>
      <c r="O103" s="72" t="str">
        <f t="shared" si="0"/>
        <v/>
      </c>
      <c r="P103" s="73" t="str">
        <f t="shared" si="1"/>
        <v/>
      </c>
      <c r="Q103" s="73" t="str">
        <f t="shared" si="2"/>
        <v/>
      </c>
      <c r="R103" s="73" t="str">
        <f t="shared" si="3"/>
        <v/>
      </c>
      <c r="S103" s="73" t="str">
        <f t="shared" si="4"/>
        <v/>
      </c>
      <c r="T103" s="73" t="str">
        <f t="shared" si="5"/>
        <v/>
      </c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</row>
    <row r="104" spans="2:55" ht="18" customHeight="1" x14ac:dyDescent="0.25">
      <c r="B104" s="234"/>
      <c r="C104" s="234"/>
      <c r="D104" s="166"/>
      <c r="E104" s="167"/>
      <c r="F104" s="167"/>
      <c r="G104" s="166"/>
      <c r="H104" s="167"/>
      <c r="I104" s="166"/>
      <c r="J104" s="71" t="str">
        <f>IF(ISERROR(VLOOKUP(#REF!,#REF!,2,FALSE)),"EXCLUDE",VLOOKUP(#REF!,#REF!,2,FALSE))</f>
        <v>EXCLUDE</v>
      </c>
      <c r="K104" s="235"/>
      <c r="L104" s="235"/>
      <c r="M104" s="235"/>
      <c r="O104" s="72" t="str">
        <f t="shared" si="0"/>
        <v/>
      </c>
      <c r="P104" s="73" t="str">
        <f t="shared" si="1"/>
        <v/>
      </c>
      <c r="Q104" s="73" t="str">
        <f t="shared" si="2"/>
        <v/>
      </c>
      <c r="R104" s="73" t="str">
        <f t="shared" si="3"/>
        <v/>
      </c>
      <c r="S104" s="73" t="str">
        <f t="shared" si="4"/>
        <v/>
      </c>
      <c r="T104" s="73" t="str">
        <f t="shared" si="5"/>
        <v/>
      </c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  <c r="BC104" s="192"/>
    </row>
    <row r="105" spans="2:55" ht="18" customHeight="1" x14ac:dyDescent="0.25">
      <c r="B105" s="234"/>
      <c r="C105" s="234"/>
      <c r="D105" s="166"/>
      <c r="E105" s="167"/>
      <c r="F105" s="167"/>
      <c r="G105" s="166"/>
      <c r="H105" s="167"/>
      <c r="I105" s="166"/>
      <c r="J105" s="71" t="str">
        <f>IF(ISERROR(VLOOKUP(#REF!,#REF!,2,FALSE)),"EXCLUDE",VLOOKUP(#REF!,#REF!,2,FALSE))</f>
        <v>EXCLUDE</v>
      </c>
      <c r="K105" s="235"/>
      <c r="L105" s="235"/>
      <c r="M105" s="235"/>
      <c r="O105" s="72" t="str">
        <f t="shared" si="0"/>
        <v/>
      </c>
      <c r="P105" s="73" t="str">
        <f t="shared" si="1"/>
        <v/>
      </c>
      <c r="Q105" s="73" t="str">
        <f t="shared" si="2"/>
        <v/>
      </c>
      <c r="R105" s="73" t="str">
        <f t="shared" si="3"/>
        <v/>
      </c>
      <c r="S105" s="73" t="str">
        <f t="shared" si="4"/>
        <v/>
      </c>
      <c r="T105" s="73" t="str">
        <f t="shared" si="5"/>
        <v/>
      </c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</row>
    <row r="106" spans="2:55" ht="18" customHeight="1" x14ac:dyDescent="0.25">
      <c r="B106" s="234"/>
      <c r="C106" s="234"/>
      <c r="D106" s="166"/>
      <c r="E106" s="167"/>
      <c r="F106" s="167"/>
      <c r="G106" s="166"/>
      <c r="H106" s="167"/>
      <c r="I106" s="166"/>
      <c r="J106" s="71" t="str">
        <f>IF(ISERROR(VLOOKUP(#REF!,#REF!,2,FALSE)),"EXCLUDE",VLOOKUP(#REF!,#REF!,2,FALSE))</f>
        <v>EXCLUDE</v>
      </c>
      <c r="K106" s="235"/>
      <c r="L106" s="235"/>
      <c r="M106" s="235"/>
      <c r="O106" s="72" t="str">
        <f t="shared" si="0"/>
        <v/>
      </c>
      <c r="P106" s="73" t="str">
        <f t="shared" si="1"/>
        <v/>
      </c>
      <c r="Q106" s="73" t="str">
        <f t="shared" si="2"/>
        <v/>
      </c>
      <c r="R106" s="73" t="str">
        <f t="shared" si="3"/>
        <v/>
      </c>
      <c r="S106" s="73" t="str">
        <f t="shared" si="4"/>
        <v/>
      </c>
      <c r="T106" s="73" t="str">
        <f t="shared" si="5"/>
        <v/>
      </c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</row>
    <row r="107" spans="2:55" ht="18" customHeight="1" x14ac:dyDescent="0.25">
      <c r="B107" s="234"/>
      <c r="C107" s="234"/>
      <c r="D107" s="166"/>
      <c r="E107" s="167"/>
      <c r="F107" s="166"/>
      <c r="G107" s="166"/>
      <c r="H107" s="166"/>
      <c r="I107" s="166"/>
      <c r="J107" s="71" t="str">
        <f>IF(ISERROR(VLOOKUP(#REF!,#REF!,2,FALSE)),"EXCLUDE",VLOOKUP(#REF!,#REF!,2,FALSE))</f>
        <v>EXCLUDE</v>
      </c>
      <c r="K107" s="235"/>
      <c r="L107" s="235"/>
      <c r="M107" s="235"/>
      <c r="O107" s="72" t="str">
        <f t="shared" si="0"/>
        <v/>
      </c>
      <c r="P107" s="73" t="str">
        <f t="shared" si="1"/>
        <v/>
      </c>
      <c r="Q107" s="73" t="str">
        <f t="shared" si="2"/>
        <v/>
      </c>
      <c r="R107" s="73" t="str">
        <f t="shared" si="3"/>
        <v/>
      </c>
      <c r="S107" s="73" t="str">
        <f t="shared" si="4"/>
        <v/>
      </c>
      <c r="T107" s="73" t="str">
        <f t="shared" si="5"/>
        <v/>
      </c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</row>
    <row r="108" spans="2:55" ht="18" customHeight="1" x14ac:dyDescent="0.25">
      <c r="B108" s="234"/>
      <c r="C108" s="234"/>
      <c r="D108" s="166"/>
      <c r="E108" s="167"/>
      <c r="F108" s="166"/>
      <c r="G108" s="166"/>
      <c r="H108" s="166"/>
      <c r="I108" s="166"/>
      <c r="J108" s="71" t="str">
        <f>IF(ISERROR(VLOOKUP(#REF!,#REF!,2,FALSE)),"EXCLUDE",VLOOKUP(#REF!,#REF!,2,FALSE))</f>
        <v>EXCLUDE</v>
      </c>
      <c r="K108" s="235"/>
      <c r="L108" s="235"/>
      <c r="M108" s="235"/>
      <c r="O108" s="72" t="str">
        <f t="shared" si="0"/>
        <v/>
      </c>
      <c r="P108" s="73" t="str">
        <f t="shared" si="1"/>
        <v/>
      </c>
      <c r="Q108" s="73" t="str">
        <f t="shared" si="2"/>
        <v/>
      </c>
      <c r="R108" s="73" t="str">
        <f t="shared" si="3"/>
        <v/>
      </c>
      <c r="S108" s="73" t="str">
        <f t="shared" si="4"/>
        <v/>
      </c>
      <c r="T108" s="73" t="str">
        <f t="shared" si="5"/>
        <v/>
      </c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</row>
    <row r="109" spans="2:55" ht="18" customHeight="1" x14ac:dyDescent="0.25">
      <c r="B109" s="234"/>
      <c r="C109" s="234"/>
      <c r="D109" s="166"/>
      <c r="E109" s="167"/>
      <c r="F109" s="167"/>
      <c r="G109" s="166"/>
      <c r="H109" s="167"/>
      <c r="I109" s="166"/>
      <c r="J109" s="71" t="str">
        <f>IF(ISERROR(VLOOKUP(#REF!,#REF!,2,FALSE)),"EXCLUDE",VLOOKUP(#REF!,#REF!,2,FALSE))</f>
        <v>EXCLUDE</v>
      </c>
      <c r="K109" s="235"/>
      <c r="L109" s="235"/>
      <c r="M109" s="235"/>
      <c r="O109" s="72" t="str">
        <f t="shared" si="0"/>
        <v/>
      </c>
      <c r="P109" s="73" t="str">
        <f t="shared" si="1"/>
        <v/>
      </c>
      <c r="Q109" s="73" t="str">
        <f t="shared" si="2"/>
        <v/>
      </c>
      <c r="R109" s="73" t="str">
        <f t="shared" si="3"/>
        <v/>
      </c>
      <c r="S109" s="73" t="str">
        <f t="shared" si="4"/>
        <v/>
      </c>
      <c r="T109" s="73" t="str">
        <f t="shared" si="5"/>
        <v/>
      </c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</row>
    <row r="110" spans="2:55" ht="18" customHeight="1" x14ac:dyDescent="0.25">
      <c r="B110" s="234"/>
      <c r="C110" s="234"/>
      <c r="D110" s="166"/>
      <c r="E110" s="167"/>
      <c r="F110" s="166"/>
      <c r="G110" s="166"/>
      <c r="H110" s="166"/>
      <c r="I110" s="166"/>
      <c r="J110" s="71" t="str">
        <f>IF(ISERROR(VLOOKUP(#REF!,#REF!,2,FALSE)),"EXCLUDE",VLOOKUP(#REF!,#REF!,2,FALSE))</f>
        <v>EXCLUDE</v>
      </c>
      <c r="K110" s="235"/>
      <c r="L110" s="235"/>
      <c r="M110" s="235"/>
      <c r="O110" s="72" t="str">
        <f t="shared" si="0"/>
        <v/>
      </c>
      <c r="P110" s="73" t="str">
        <f t="shared" si="1"/>
        <v/>
      </c>
      <c r="Q110" s="73" t="str">
        <f t="shared" si="2"/>
        <v/>
      </c>
      <c r="R110" s="73" t="str">
        <f t="shared" si="3"/>
        <v/>
      </c>
      <c r="S110" s="73" t="str">
        <f t="shared" si="4"/>
        <v/>
      </c>
      <c r="T110" s="73" t="str">
        <f t="shared" si="5"/>
        <v/>
      </c>
      <c r="AP110" s="192"/>
      <c r="AQ110" s="192"/>
      <c r="AR110" s="192"/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2"/>
      <c r="BC110" s="192"/>
    </row>
    <row r="111" spans="2:55" ht="18" customHeight="1" x14ac:dyDescent="0.25">
      <c r="B111" s="234"/>
      <c r="C111" s="234"/>
      <c r="D111" s="166"/>
      <c r="E111" s="167"/>
      <c r="F111" s="166"/>
      <c r="G111" s="166"/>
      <c r="H111" s="166"/>
      <c r="I111" s="166"/>
      <c r="J111" s="71" t="str">
        <f>IF(ISERROR(VLOOKUP(#REF!,#REF!,2,FALSE)),"EXCLUDE",VLOOKUP(#REF!,#REF!,2,FALSE))</f>
        <v>EXCLUDE</v>
      </c>
      <c r="K111" s="235"/>
      <c r="L111" s="235"/>
      <c r="M111" s="235"/>
      <c r="O111" s="72" t="str">
        <f t="shared" si="0"/>
        <v/>
      </c>
      <c r="P111" s="73" t="str">
        <f t="shared" si="1"/>
        <v/>
      </c>
      <c r="Q111" s="73" t="str">
        <f t="shared" si="2"/>
        <v/>
      </c>
      <c r="R111" s="73" t="str">
        <f t="shared" si="3"/>
        <v/>
      </c>
      <c r="S111" s="73" t="str">
        <f t="shared" si="4"/>
        <v/>
      </c>
      <c r="T111" s="73" t="str">
        <f t="shared" si="5"/>
        <v/>
      </c>
      <c r="AP111" s="192"/>
      <c r="AQ111" s="192"/>
      <c r="AR111" s="192"/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2"/>
      <c r="BC111" s="192"/>
    </row>
    <row r="112" spans="2:55" ht="18" customHeight="1" x14ac:dyDescent="0.25">
      <c r="B112" s="234"/>
      <c r="C112" s="234"/>
      <c r="D112" s="166"/>
      <c r="E112" s="167"/>
      <c r="F112" s="167"/>
      <c r="G112" s="166"/>
      <c r="H112" s="167"/>
      <c r="I112" s="166"/>
      <c r="J112" s="71" t="str">
        <f>IF(ISERROR(VLOOKUP(#REF!,#REF!,2,FALSE)),"EXCLUDE",VLOOKUP(#REF!,#REF!,2,FALSE))</f>
        <v>EXCLUDE</v>
      </c>
      <c r="K112" s="235"/>
      <c r="L112" s="235"/>
      <c r="M112" s="235"/>
      <c r="O112" s="72" t="str">
        <f t="shared" si="0"/>
        <v/>
      </c>
      <c r="P112" s="73" t="str">
        <f t="shared" si="1"/>
        <v/>
      </c>
      <c r="Q112" s="73" t="str">
        <f t="shared" si="2"/>
        <v/>
      </c>
      <c r="R112" s="73" t="str">
        <f t="shared" si="3"/>
        <v/>
      </c>
      <c r="S112" s="73" t="str">
        <f t="shared" si="4"/>
        <v/>
      </c>
      <c r="T112" s="73" t="str">
        <f t="shared" si="5"/>
        <v/>
      </c>
      <c r="AP112" s="192"/>
      <c r="AQ112" s="192"/>
      <c r="AR112" s="192"/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2"/>
      <c r="BC112" s="192"/>
    </row>
    <row r="113" spans="2:55" ht="18" customHeight="1" x14ac:dyDescent="0.25">
      <c r="B113" s="234"/>
      <c r="C113" s="234"/>
      <c r="D113" s="166"/>
      <c r="E113" s="167"/>
      <c r="F113" s="167"/>
      <c r="G113" s="166"/>
      <c r="H113" s="167"/>
      <c r="I113" s="166"/>
      <c r="J113" s="71" t="str">
        <f>IF(ISERROR(VLOOKUP(#REF!,#REF!,2,FALSE)),"EXCLUDE",VLOOKUP(#REF!,#REF!,2,FALSE))</f>
        <v>EXCLUDE</v>
      </c>
      <c r="K113" s="235"/>
      <c r="L113" s="235"/>
      <c r="M113" s="235"/>
      <c r="O113" s="72" t="str">
        <f t="shared" si="0"/>
        <v/>
      </c>
      <c r="P113" s="73" t="str">
        <f t="shared" si="1"/>
        <v/>
      </c>
      <c r="Q113" s="73" t="str">
        <f t="shared" si="2"/>
        <v/>
      </c>
      <c r="R113" s="73" t="str">
        <f t="shared" si="3"/>
        <v/>
      </c>
      <c r="S113" s="73" t="str">
        <f t="shared" si="4"/>
        <v/>
      </c>
      <c r="T113" s="73" t="str">
        <f t="shared" si="5"/>
        <v/>
      </c>
      <c r="AP113" s="192"/>
      <c r="AQ113" s="192"/>
      <c r="AR113" s="192"/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2"/>
      <c r="BC113" s="192"/>
    </row>
    <row r="114" spans="2:55" ht="18" customHeight="1" x14ac:dyDescent="0.25">
      <c r="B114" s="234"/>
      <c r="C114" s="234"/>
      <c r="D114" s="166"/>
      <c r="E114" s="167"/>
      <c r="F114" s="166"/>
      <c r="G114" s="166"/>
      <c r="H114" s="166"/>
      <c r="I114" s="166"/>
      <c r="J114" s="71" t="str">
        <f>IF(ISERROR(VLOOKUP(#REF!,#REF!,2,FALSE)),"EXCLUDE",VLOOKUP(#REF!,#REF!,2,FALSE))</f>
        <v>EXCLUDE</v>
      </c>
      <c r="K114" s="235"/>
      <c r="L114" s="235"/>
      <c r="M114" s="235"/>
      <c r="O114" s="72" t="str">
        <f t="shared" si="0"/>
        <v/>
      </c>
      <c r="P114" s="73" t="str">
        <f t="shared" si="1"/>
        <v/>
      </c>
      <c r="Q114" s="73" t="str">
        <f t="shared" si="2"/>
        <v/>
      </c>
      <c r="R114" s="73" t="str">
        <f t="shared" si="3"/>
        <v/>
      </c>
      <c r="S114" s="73" t="str">
        <f t="shared" si="4"/>
        <v/>
      </c>
      <c r="T114" s="73" t="str">
        <f t="shared" si="5"/>
        <v/>
      </c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</row>
    <row r="115" spans="2:55" ht="18" customHeight="1" x14ac:dyDescent="0.25">
      <c r="B115" s="234"/>
      <c r="C115" s="234"/>
      <c r="D115" s="166"/>
      <c r="E115" s="167"/>
      <c r="F115" s="167"/>
      <c r="G115" s="166"/>
      <c r="H115" s="167"/>
      <c r="I115" s="166"/>
      <c r="J115" s="71" t="str">
        <f>IF(ISERROR(VLOOKUP(#REF!,#REF!,2,FALSE)),"EXCLUDE",VLOOKUP(#REF!,#REF!,2,FALSE))</f>
        <v>EXCLUDE</v>
      </c>
      <c r="K115" s="235"/>
      <c r="L115" s="235"/>
      <c r="M115" s="235"/>
      <c r="O115" s="72" t="str">
        <f t="shared" si="0"/>
        <v/>
      </c>
      <c r="P115" s="73" t="str">
        <f t="shared" si="1"/>
        <v/>
      </c>
      <c r="Q115" s="73" t="str">
        <f t="shared" si="2"/>
        <v/>
      </c>
      <c r="R115" s="73" t="str">
        <f t="shared" si="3"/>
        <v/>
      </c>
      <c r="S115" s="73" t="str">
        <f t="shared" si="4"/>
        <v/>
      </c>
      <c r="T115" s="73" t="str">
        <f t="shared" si="5"/>
        <v/>
      </c>
      <c r="AP115" s="192"/>
      <c r="AQ115" s="192"/>
      <c r="AR115" s="192"/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2"/>
      <c r="BC115" s="192"/>
    </row>
    <row r="116" spans="2:55" ht="18" customHeight="1" x14ac:dyDescent="0.25">
      <c r="B116" s="234"/>
      <c r="C116" s="234"/>
      <c r="D116" s="166"/>
      <c r="E116" s="167"/>
      <c r="F116" s="166"/>
      <c r="G116" s="166"/>
      <c r="H116" s="166"/>
      <c r="I116" s="166"/>
      <c r="J116" s="71" t="str">
        <f>IF(ISERROR(VLOOKUP(#REF!,#REF!,2,FALSE)),"EXCLUDE",VLOOKUP(#REF!,#REF!,2,FALSE))</f>
        <v>EXCLUDE</v>
      </c>
      <c r="K116" s="235"/>
      <c r="L116" s="235"/>
      <c r="M116" s="235"/>
      <c r="O116" s="72" t="str">
        <f t="shared" si="0"/>
        <v/>
      </c>
      <c r="P116" s="73" t="str">
        <f t="shared" si="1"/>
        <v/>
      </c>
      <c r="Q116" s="73" t="str">
        <f t="shared" si="2"/>
        <v/>
      </c>
      <c r="R116" s="73" t="str">
        <f t="shared" si="3"/>
        <v/>
      </c>
      <c r="S116" s="73" t="str">
        <f t="shared" si="4"/>
        <v/>
      </c>
      <c r="T116" s="73" t="str">
        <f t="shared" si="5"/>
        <v/>
      </c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</row>
    <row r="117" spans="2:55" ht="18" customHeight="1" x14ac:dyDescent="0.25">
      <c r="B117" s="234"/>
      <c r="C117" s="234"/>
      <c r="D117" s="166"/>
      <c r="E117" s="167"/>
      <c r="F117" s="166"/>
      <c r="G117" s="166"/>
      <c r="H117" s="166"/>
      <c r="I117" s="166"/>
      <c r="J117" s="71" t="str">
        <f>IF(ISERROR(VLOOKUP(#REF!,#REF!,2,FALSE)),"EXCLUDE",VLOOKUP(#REF!,#REF!,2,FALSE))</f>
        <v>EXCLUDE</v>
      </c>
      <c r="K117" s="235"/>
      <c r="L117" s="235"/>
      <c r="M117" s="235"/>
      <c r="O117" s="72" t="str">
        <f t="shared" si="0"/>
        <v/>
      </c>
      <c r="P117" s="73" t="str">
        <f t="shared" si="1"/>
        <v/>
      </c>
      <c r="Q117" s="73" t="str">
        <f t="shared" si="2"/>
        <v/>
      </c>
      <c r="R117" s="73" t="str">
        <f t="shared" si="3"/>
        <v/>
      </c>
      <c r="S117" s="73" t="str">
        <f t="shared" si="4"/>
        <v/>
      </c>
      <c r="T117" s="73" t="str">
        <f t="shared" si="5"/>
        <v/>
      </c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</row>
    <row r="118" spans="2:55" ht="18" customHeight="1" x14ac:dyDescent="0.25">
      <c r="B118" s="234"/>
      <c r="C118" s="234"/>
      <c r="D118" s="166"/>
      <c r="E118" s="167"/>
      <c r="F118" s="167"/>
      <c r="G118" s="166"/>
      <c r="H118" s="167"/>
      <c r="I118" s="166"/>
      <c r="J118" s="71" t="str">
        <f>IF(ISERROR(VLOOKUP(#REF!,#REF!,2,FALSE)),"EXCLUDE",VLOOKUP(#REF!,#REF!,2,FALSE))</f>
        <v>EXCLUDE</v>
      </c>
      <c r="K118" s="235"/>
      <c r="L118" s="235"/>
      <c r="M118" s="235"/>
      <c r="O118" s="72" t="str">
        <f t="shared" si="0"/>
        <v/>
      </c>
      <c r="P118" s="73" t="str">
        <f t="shared" si="1"/>
        <v/>
      </c>
      <c r="Q118" s="73" t="str">
        <f t="shared" si="2"/>
        <v/>
      </c>
      <c r="R118" s="73" t="str">
        <f t="shared" si="3"/>
        <v/>
      </c>
      <c r="S118" s="73" t="str">
        <f t="shared" si="4"/>
        <v/>
      </c>
      <c r="T118" s="73" t="str">
        <f t="shared" si="5"/>
        <v/>
      </c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</row>
    <row r="119" spans="2:55" ht="18" customHeight="1" x14ac:dyDescent="0.25">
      <c r="B119" s="234"/>
      <c r="C119" s="234"/>
      <c r="D119" s="166"/>
      <c r="E119" s="167"/>
      <c r="F119" s="166"/>
      <c r="G119" s="166"/>
      <c r="H119" s="166"/>
      <c r="I119" s="166"/>
      <c r="J119" s="71" t="str">
        <f>IF(ISERROR(VLOOKUP(#REF!,#REF!,2,FALSE)),"EXCLUDE",VLOOKUP(#REF!,#REF!,2,FALSE))</f>
        <v>EXCLUDE</v>
      </c>
      <c r="K119" s="235"/>
      <c r="L119" s="235"/>
      <c r="M119" s="235"/>
      <c r="O119" s="72" t="str">
        <f t="shared" si="0"/>
        <v/>
      </c>
      <c r="P119" s="73" t="str">
        <f t="shared" si="1"/>
        <v/>
      </c>
      <c r="Q119" s="73" t="str">
        <f t="shared" si="2"/>
        <v/>
      </c>
      <c r="R119" s="73" t="str">
        <f t="shared" si="3"/>
        <v/>
      </c>
      <c r="S119" s="73" t="str">
        <f t="shared" si="4"/>
        <v/>
      </c>
      <c r="T119" s="73" t="str">
        <f t="shared" si="5"/>
        <v/>
      </c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</row>
    <row r="120" spans="2:55" ht="18" customHeight="1" x14ac:dyDescent="0.25">
      <c r="B120" s="234"/>
      <c r="C120" s="234"/>
      <c r="D120" s="166"/>
      <c r="E120" s="167"/>
      <c r="F120" s="166"/>
      <c r="G120" s="166"/>
      <c r="H120" s="166"/>
      <c r="I120" s="166"/>
      <c r="J120" s="71" t="str">
        <f>IF(ISERROR(VLOOKUP(#REF!,#REF!,2,FALSE)),"EXCLUDE",VLOOKUP(#REF!,#REF!,2,FALSE))</f>
        <v>EXCLUDE</v>
      </c>
      <c r="K120" s="235"/>
      <c r="L120" s="235"/>
      <c r="M120" s="235"/>
      <c r="O120" s="72" t="str">
        <f t="shared" si="0"/>
        <v/>
      </c>
      <c r="P120" s="73" t="str">
        <f t="shared" si="1"/>
        <v/>
      </c>
      <c r="Q120" s="73" t="str">
        <f t="shared" si="2"/>
        <v/>
      </c>
      <c r="R120" s="73" t="str">
        <f t="shared" si="3"/>
        <v/>
      </c>
      <c r="S120" s="73" t="str">
        <f t="shared" si="4"/>
        <v/>
      </c>
      <c r="T120" s="73" t="str">
        <f t="shared" si="5"/>
        <v/>
      </c>
      <c r="AP120" s="192"/>
      <c r="AQ120" s="192"/>
      <c r="AR120" s="192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</row>
    <row r="121" spans="2:55" ht="18" customHeight="1" x14ac:dyDescent="0.25">
      <c r="B121" s="234"/>
      <c r="C121" s="234"/>
      <c r="D121" s="166"/>
      <c r="E121" s="167"/>
      <c r="F121" s="167"/>
      <c r="G121" s="166"/>
      <c r="H121" s="167"/>
      <c r="I121" s="166"/>
      <c r="J121" s="71" t="str">
        <f>IF(ISERROR(VLOOKUP(#REF!,#REF!,2,FALSE)),"EXCLUDE",VLOOKUP(#REF!,#REF!,2,FALSE))</f>
        <v>EXCLUDE</v>
      </c>
      <c r="K121" s="235"/>
      <c r="L121" s="235"/>
      <c r="M121" s="235"/>
      <c r="O121" s="72" t="str">
        <f t="shared" si="0"/>
        <v/>
      </c>
      <c r="P121" s="73" t="str">
        <f t="shared" si="1"/>
        <v/>
      </c>
      <c r="Q121" s="73" t="str">
        <f t="shared" si="2"/>
        <v/>
      </c>
      <c r="R121" s="73" t="str">
        <f t="shared" si="3"/>
        <v/>
      </c>
      <c r="S121" s="73" t="str">
        <f t="shared" si="4"/>
        <v/>
      </c>
      <c r="T121" s="73" t="str">
        <f t="shared" si="5"/>
        <v/>
      </c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</row>
    <row r="122" spans="2:55" ht="18" customHeight="1" x14ac:dyDescent="0.25">
      <c r="B122" s="234"/>
      <c r="C122" s="234"/>
      <c r="D122" s="166"/>
      <c r="E122" s="167"/>
      <c r="F122" s="167"/>
      <c r="G122" s="166"/>
      <c r="H122" s="167"/>
      <c r="I122" s="166"/>
      <c r="J122" s="71" t="str">
        <f>IF(ISERROR(VLOOKUP(#REF!,#REF!,2,FALSE)),"EXCLUDE",VLOOKUP(#REF!,#REF!,2,FALSE))</f>
        <v>EXCLUDE</v>
      </c>
      <c r="K122" s="235"/>
      <c r="L122" s="235"/>
      <c r="M122" s="235"/>
      <c r="O122" s="72" t="str">
        <f t="shared" si="0"/>
        <v/>
      </c>
      <c r="P122" s="73" t="str">
        <f t="shared" si="1"/>
        <v/>
      </c>
      <c r="Q122" s="73" t="str">
        <f t="shared" si="2"/>
        <v/>
      </c>
      <c r="R122" s="73" t="str">
        <f t="shared" si="3"/>
        <v/>
      </c>
      <c r="S122" s="73" t="str">
        <f t="shared" si="4"/>
        <v/>
      </c>
      <c r="T122" s="73" t="str">
        <f t="shared" si="5"/>
        <v/>
      </c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</row>
    <row r="123" spans="2:55" ht="18" customHeight="1" x14ac:dyDescent="0.25">
      <c r="B123" s="234"/>
      <c r="C123" s="234"/>
      <c r="D123" s="166"/>
      <c r="E123" s="167"/>
      <c r="F123" s="167"/>
      <c r="G123" s="166"/>
      <c r="H123" s="167"/>
      <c r="I123" s="166"/>
      <c r="J123" s="71" t="str">
        <f>IF(ISERROR(VLOOKUP(#REF!,#REF!,2,FALSE)),"EXCLUDE",VLOOKUP(#REF!,#REF!,2,FALSE))</f>
        <v>EXCLUDE</v>
      </c>
      <c r="K123" s="235"/>
      <c r="L123" s="235"/>
      <c r="M123" s="235"/>
      <c r="O123" s="72" t="str">
        <f t="shared" si="0"/>
        <v/>
      </c>
      <c r="P123" s="73" t="str">
        <f t="shared" si="1"/>
        <v/>
      </c>
      <c r="Q123" s="73" t="str">
        <f t="shared" si="2"/>
        <v/>
      </c>
      <c r="R123" s="73" t="str">
        <f t="shared" si="3"/>
        <v/>
      </c>
      <c r="S123" s="73" t="str">
        <f t="shared" si="4"/>
        <v/>
      </c>
      <c r="T123" s="73" t="str">
        <f t="shared" si="5"/>
        <v/>
      </c>
      <c r="AP123" s="192"/>
      <c r="AQ123" s="192"/>
      <c r="AR123" s="192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</row>
    <row r="124" spans="2:55" ht="18" customHeight="1" x14ac:dyDescent="0.25">
      <c r="B124" s="234"/>
      <c r="C124" s="234"/>
      <c r="D124" s="166"/>
      <c r="E124" s="167"/>
      <c r="F124" s="167"/>
      <c r="G124" s="166"/>
      <c r="H124" s="167"/>
      <c r="I124" s="166"/>
      <c r="J124" s="71" t="str">
        <f>IF(ISERROR(VLOOKUP(#REF!,#REF!,2,FALSE)),"EXCLUDE",VLOOKUP(#REF!,#REF!,2,FALSE))</f>
        <v>EXCLUDE</v>
      </c>
      <c r="K124" s="235"/>
      <c r="L124" s="235"/>
      <c r="M124" s="235"/>
      <c r="O124" s="72" t="str">
        <f t="shared" si="0"/>
        <v/>
      </c>
      <c r="P124" s="73" t="str">
        <f t="shared" si="1"/>
        <v/>
      </c>
      <c r="Q124" s="73" t="str">
        <f t="shared" si="2"/>
        <v/>
      </c>
      <c r="R124" s="73" t="str">
        <f t="shared" si="3"/>
        <v/>
      </c>
      <c r="S124" s="73" t="str">
        <f t="shared" si="4"/>
        <v/>
      </c>
      <c r="T124" s="73" t="str">
        <f t="shared" si="5"/>
        <v/>
      </c>
      <c r="AP124" s="192"/>
      <c r="AQ124" s="192"/>
      <c r="AR124" s="192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</row>
    <row r="125" spans="2:55" ht="18" customHeight="1" x14ac:dyDescent="0.25">
      <c r="B125" s="234"/>
      <c r="C125" s="234"/>
      <c r="D125" s="166"/>
      <c r="E125" s="167"/>
      <c r="F125" s="167"/>
      <c r="G125" s="166"/>
      <c r="H125" s="167"/>
      <c r="I125" s="166"/>
      <c r="J125" s="71" t="str">
        <f>IF(ISERROR(VLOOKUP(#REF!,#REF!,2,FALSE)),"EXCLUDE",VLOOKUP(#REF!,#REF!,2,FALSE))</f>
        <v>EXCLUDE</v>
      </c>
      <c r="K125" s="235"/>
      <c r="L125" s="235"/>
      <c r="M125" s="235"/>
      <c r="O125" s="72" t="str">
        <f t="shared" ref="O125:O160" si="6">IF($J125="INCLUDE",E125,"")</f>
        <v/>
      </c>
      <c r="P125" s="73" t="str">
        <f t="shared" ref="P125:P160" si="7">IF(AND($J125="INCLUDE",ISNUMBER(F125)),F125,"")</f>
        <v/>
      </c>
      <c r="Q125" s="73" t="str">
        <f t="shared" ref="Q125:Q160" si="8">IF($J125="INCLUDE",AVERAGE(O125:P125),"")</f>
        <v/>
      </c>
      <c r="R125" s="73" t="str">
        <f t="shared" ref="R125:R160" si="9">IF($J125="INCLUDE",H125,"")</f>
        <v/>
      </c>
      <c r="S125" s="73" t="str">
        <f t="shared" ref="S125:S160" si="10">IF(AND($J125="INCLUDE",ISNUMBER(I125)),I125,"")</f>
        <v/>
      </c>
      <c r="T125" s="73" t="str">
        <f t="shared" ref="T125:T160" si="11">IF($J125="INCLUDE",AVERAGE(R125:S125),"")</f>
        <v/>
      </c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</row>
    <row r="126" spans="2:55" ht="18" customHeight="1" x14ac:dyDescent="0.25">
      <c r="B126" s="234"/>
      <c r="C126" s="234"/>
      <c r="D126" s="166"/>
      <c r="E126" s="167"/>
      <c r="F126" s="166"/>
      <c r="G126" s="166"/>
      <c r="H126" s="166"/>
      <c r="I126" s="166"/>
      <c r="J126" s="71" t="str">
        <f>IF(ISERROR(VLOOKUP(#REF!,#REF!,2,FALSE)),"EXCLUDE",VLOOKUP(#REF!,#REF!,2,FALSE))</f>
        <v>EXCLUDE</v>
      </c>
      <c r="K126" s="235"/>
      <c r="L126" s="235"/>
      <c r="M126" s="235"/>
      <c r="O126" s="72" t="str">
        <f t="shared" si="6"/>
        <v/>
      </c>
      <c r="P126" s="73" t="str">
        <f t="shared" si="7"/>
        <v/>
      </c>
      <c r="Q126" s="73" t="str">
        <f t="shared" si="8"/>
        <v/>
      </c>
      <c r="R126" s="73" t="str">
        <f t="shared" si="9"/>
        <v/>
      </c>
      <c r="S126" s="73" t="str">
        <f t="shared" si="10"/>
        <v/>
      </c>
      <c r="T126" s="73" t="str">
        <f t="shared" si="11"/>
        <v/>
      </c>
      <c r="AP126" s="192"/>
      <c r="AQ126" s="192"/>
      <c r="AR126" s="192"/>
      <c r="AS126" s="192"/>
      <c r="AT126" s="192"/>
      <c r="AU126" s="192"/>
      <c r="AV126" s="192"/>
      <c r="AW126" s="192"/>
      <c r="AX126" s="192"/>
      <c r="AY126" s="192"/>
      <c r="AZ126" s="192"/>
      <c r="BA126" s="192"/>
      <c r="BB126" s="192"/>
      <c r="BC126" s="192"/>
    </row>
    <row r="127" spans="2:55" ht="18" customHeight="1" x14ac:dyDescent="0.25">
      <c r="B127" s="234"/>
      <c r="C127" s="234"/>
      <c r="D127" s="166"/>
      <c r="E127" s="167"/>
      <c r="F127" s="166"/>
      <c r="G127" s="166"/>
      <c r="H127" s="166"/>
      <c r="I127" s="166"/>
      <c r="J127" s="71" t="str">
        <f>IF(ISERROR(VLOOKUP(#REF!,#REF!,2,FALSE)),"EXCLUDE",VLOOKUP(#REF!,#REF!,2,FALSE))</f>
        <v>EXCLUDE</v>
      </c>
      <c r="K127" s="235"/>
      <c r="L127" s="235"/>
      <c r="M127" s="235"/>
      <c r="O127" s="72" t="str">
        <f t="shared" si="6"/>
        <v/>
      </c>
      <c r="P127" s="73" t="str">
        <f t="shared" si="7"/>
        <v/>
      </c>
      <c r="Q127" s="73" t="str">
        <f t="shared" si="8"/>
        <v/>
      </c>
      <c r="R127" s="73" t="str">
        <f t="shared" si="9"/>
        <v/>
      </c>
      <c r="S127" s="73" t="str">
        <f t="shared" si="10"/>
        <v/>
      </c>
      <c r="T127" s="73" t="str">
        <f t="shared" si="11"/>
        <v/>
      </c>
      <c r="AP127" s="192"/>
      <c r="AQ127" s="192"/>
      <c r="AR127" s="192"/>
      <c r="AS127" s="192"/>
      <c r="AT127" s="192"/>
      <c r="AU127" s="192"/>
      <c r="AV127" s="192"/>
      <c r="AW127" s="192"/>
      <c r="AX127" s="192"/>
      <c r="AY127" s="192"/>
      <c r="AZ127" s="192"/>
      <c r="BA127" s="192"/>
      <c r="BB127" s="192"/>
      <c r="BC127" s="192"/>
    </row>
    <row r="128" spans="2:55" ht="18" customHeight="1" x14ac:dyDescent="0.25">
      <c r="B128" s="234"/>
      <c r="C128" s="234"/>
      <c r="D128" s="166"/>
      <c r="E128" s="167"/>
      <c r="F128" s="167"/>
      <c r="G128" s="166"/>
      <c r="H128" s="167"/>
      <c r="I128" s="166"/>
      <c r="J128" s="71" t="str">
        <f>IF(ISERROR(VLOOKUP(#REF!,#REF!,2,FALSE)),"EXCLUDE",VLOOKUP(#REF!,#REF!,2,FALSE))</f>
        <v>EXCLUDE</v>
      </c>
      <c r="K128" s="235"/>
      <c r="L128" s="235"/>
      <c r="M128" s="235"/>
      <c r="O128" s="72" t="str">
        <f t="shared" si="6"/>
        <v/>
      </c>
      <c r="P128" s="73" t="str">
        <f t="shared" si="7"/>
        <v/>
      </c>
      <c r="Q128" s="73" t="str">
        <f t="shared" si="8"/>
        <v/>
      </c>
      <c r="R128" s="73" t="str">
        <f t="shared" si="9"/>
        <v/>
      </c>
      <c r="S128" s="73" t="str">
        <f t="shared" si="10"/>
        <v/>
      </c>
      <c r="T128" s="73" t="str">
        <f t="shared" si="11"/>
        <v/>
      </c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</row>
    <row r="129" spans="2:55" ht="18" customHeight="1" x14ac:dyDescent="0.25">
      <c r="B129" s="234"/>
      <c r="C129" s="234"/>
      <c r="D129" s="166"/>
      <c r="E129" s="167"/>
      <c r="F129" s="167"/>
      <c r="G129" s="166"/>
      <c r="H129" s="167"/>
      <c r="I129" s="166"/>
      <c r="J129" s="71" t="str">
        <f>IF(ISERROR(VLOOKUP(#REF!,#REF!,2,FALSE)),"EXCLUDE",VLOOKUP(#REF!,#REF!,2,FALSE))</f>
        <v>EXCLUDE</v>
      </c>
      <c r="K129" s="235"/>
      <c r="L129" s="235"/>
      <c r="M129" s="235"/>
      <c r="O129" s="72" t="str">
        <f t="shared" si="6"/>
        <v/>
      </c>
      <c r="P129" s="73" t="str">
        <f t="shared" si="7"/>
        <v/>
      </c>
      <c r="Q129" s="73" t="str">
        <f t="shared" si="8"/>
        <v/>
      </c>
      <c r="R129" s="73" t="str">
        <f t="shared" si="9"/>
        <v/>
      </c>
      <c r="S129" s="73" t="str">
        <f t="shared" si="10"/>
        <v/>
      </c>
      <c r="T129" s="73" t="str">
        <f t="shared" si="11"/>
        <v/>
      </c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</row>
    <row r="130" spans="2:55" ht="18" customHeight="1" x14ac:dyDescent="0.25">
      <c r="B130" s="234"/>
      <c r="C130" s="234"/>
      <c r="D130" s="166"/>
      <c r="E130" s="167"/>
      <c r="F130" s="167"/>
      <c r="G130" s="166"/>
      <c r="H130" s="167"/>
      <c r="I130" s="166"/>
      <c r="J130" s="71" t="str">
        <f>IF(ISERROR(VLOOKUP(#REF!,#REF!,2,FALSE)),"EXCLUDE",VLOOKUP(#REF!,#REF!,2,FALSE))</f>
        <v>EXCLUDE</v>
      </c>
      <c r="K130" s="235"/>
      <c r="L130" s="235"/>
      <c r="M130" s="235"/>
      <c r="O130" s="72" t="str">
        <f t="shared" si="6"/>
        <v/>
      </c>
      <c r="P130" s="73" t="str">
        <f t="shared" si="7"/>
        <v/>
      </c>
      <c r="Q130" s="73" t="str">
        <f t="shared" si="8"/>
        <v/>
      </c>
      <c r="R130" s="73" t="str">
        <f t="shared" si="9"/>
        <v/>
      </c>
      <c r="S130" s="73" t="str">
        <f t="shared" si="10"/>
        <v/>
      </c>
      <c r="T130" s="73" t="str">
        <f t="shared" si="11"/>
        <v/>
      </c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</row>
    <row r="131" spans="2:55" ht="18" customHeight="1" x14ac:dyDescent="0.25">
      <c r="B131" s="234"/>
      <c r="C131" s="234"/>
      <c r="D131" s="166"/>
      <c r="E131" s="167"/>
      <c r="F131" s="167"/>
      <c r="G131" s="166"/>
      <c r="H131" s="167"/>
      <c r="I131" s="166"/>
      <c r="J131" s="71" t="str">
        <f>IF(ISERROR(VLOOKUP(#REF!,#REF!,2,FALSE)),"EXCLUDE",VLOOKUP(#REF!,#REF!,2,FALSE))</f>
        <v>EXCLUDE</v>
      </c>
      <c r="K131" s="235"/>
      <c r="L131" s="235"/>
      <c r="M131" s="235"/>
      <c r="O131" s="72" t="str">
        <f t="shared" si="6"/>
        <v/>
      </c>
      <c r="P131" s="73" t="str">
        <f t="shared" si="7"/>
        <v/>
      </c>
      <c r="Q131" s="73" t="str">
        <f t="shared" si="8"/>
        <v/>
      </c>
      <c r="R131" s="73" t="str">
        <f t="shared" si="9"/>
        <v/>
      </c>
      <c r="S131" s="73" t="str">
        <f t="shared" si="10"/>
        <v/>
      </c>
      <c r="T131" s="73" t="str">
        <f t="shared" si="11"/>
        <v/>
      </c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/>
    </row>
    <row r="132" spans="2:55" ht="18" customHeight="1" x14ac:dyDescent="0.25">
      <c r="B132" s="234"/>
      <c r="C132" s="234"/>
      <c r="D132" s="166"/>
      <c r="E132" s="167"/>
      <c r="F132" s="167"/>
      <c r="G132" s="166"/>
      <c r="H132" s="167"/>
      <c r="I132" s="166"/>
      <c r="J132" s="71" t="str">
        <f>IF(ISERROR(VLOOKUP(#REF!,#REF!,2,FALSE)),"EXCLUDE",VLOOKUP(#REF!,#REF!,2,FALSE))</f>
        <v>EXCLUDE</v>
      </c>
      <c r="K132" s="235"/>
      <c r="L132" s="235"/>
      <c r="M132" s="235"/>
      <c r="O132" s="72" t="str">
        <f t="shared" si="6"/>
        <v/>
      </c>
      <c r="P132" s="73" t="str">
        <f t="shared" si="7"/>
        <v/>
      </c>
      <c r="Q132" s="73" t="str">
        <f t="shared" si="8"/>
        <v/>
      </c>
      <c r="R132" s="73" t="str">
        <f t="shared" si="9"/>
        <v/>
      </c>
      <c r="S132" s="73" t="str">
        <f t="shared" si="10"/>
        <v/>
      </c>
      <c r="T132" s="73" t="str">
        <f t="shared" si="11"/>
        <v/>
      </c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/>
    </row>
    <row r="133" spans="2:55" ht="18" customHeight="1" x14ac:dyDescent="0.25">
      <c r="B133" s="234"/>
      <c r="C133" s="234"/>
      <c r="D133" s="166"/>
      <c r="E133" s="167"/>
      <c r="F133" s="167"/>
      <c r="G133" s="166"/>
      <c r="H133" s="167"/>
      <c r="I133" s="166"/>
      <c r="J133" s="71" t="str">
        <f>IF(ISERROR(VLOOKUP(#REF!,#REF!,2,FALSE)),"EXCLUDE",VLOOKUP(#REF!,#REF!,2,FALSE))</f>
        <v>EXCLUDE</v>
      </c>
      <c r="K133" s="235"/>
      <c r="L133" s="235"/>
      <c r="M133" s="235"/>
      <c r="O133" s="72" t="str">
        <f t="shared" si="6"/>
        <v/>
      </c>
      <c r="P133" s="73" t="str">
        <f t="shared" si="7"/>
        <v/>
      </c>
      <c r="Q133" s="73" t="str">
        <f t="shared" si="8"/>
        <v/>
      </c>
      <c r="R133" s="73" t="str">
        <f t="shared" si="9"/>
        <v/>
      </c>
      <c r="S133" s="73" t="str">
        <f t="shared" si="10"/>
        <v/>
      </c>
      <c r="T133" s="73" t="str">
        <f t="shared" si="11"/>
        <v/>
      </c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/>
    </row>
    <row r="134" spans="2:55" ht="18" customHeight="1" x14ac:dyDescent="0.25">
      <c r="B134" s="234"/>
      <c r="C134" s="234"/>
      <c r="D134" s="166"/>
      <c r="E134" s="167"/>
      <c r="F134" s="167"/>
      <c r="G134" s="166"/>
      <c r="H134" s="167"/>
      <c r="I134" s="166"/>
      <c r="J134" s="71" t="str">
        <f>IF(ISERROR(VLOOKUP(#REF!,#REF!,2,FALSE)),"EXCLUDE",VLOOKUP(#REF!,#REF!,2,FALSE))</f>
        <v>EXCLUDE</v>
      </c>
      <c r="K134" s="235"/>
      <c r="L134" s="235"/>
      <c r="M134" s="235"/>
      <c r="O134" s="72" t="str">
        <f t="shared" si="6"/>
        <v/>
      </c>
      <c r="P134" s="73" t="str">
        <f t="shared" si="7"/>
        <v/>
      </c>
      <c r="Q134" s="73" t="str">
        <f t="shared" si="8"/>
        <v/>
      </c>
      <c r="R134" s="73" t="str">
        <f t="shared" si="9"/>
        <v/>
      </c>
      <c r="S134" s="73" t="str">
        <f t="shared" si="10"/>
        <v/>
      </c>
      <c r="T134" s="73" t="str">
        <f t="shared" si="11"/>
        <v/>
      </c>
      <c r="AP134" s="192"/>
      <c r="AQ134" s="192"/>
      <c r="AR134" s="192"/>
      <c r="AS134" s="192"/>
      <c r="AT134" s="192"/>
      <c r="AU134" s="192"/>
      <c r="AV134" s="192"/>
      <c r="AW134" s="192"/>
      <c r="AX134" s="192"/>
      <c r="AY134" s="192"/>
      <c r="AZ134" s="192"/>
      <c r="BA134" s="192"/>
      <c r="BB134" s="192"/>
      <c r="BC134" s="192"/>
    </row>
    <row r="135" spans="2:55" ht="18" customHeight="1" x14ac:dyDescent="0.25">
      <c r="B135" s="234"/>
      <c r="C135" s="234"/>
      <c r="D135" s="166"/>
      <c r="E135" s="167"/>
      <c r="F135" s="167"/>
      <c r="G135" s="166"/>
      <c r="H135" s="167"/>
      <c r="I135" s="166"/>
      <c r="J135" s="71" t="str">
        <f>IF(ISERROR(VLOOKUP(#REF!,#REF!,2,FALSE)),"EXCLUDE",VLOOKUP(#REF!,#REF!,2,FALSE))</f>
        <v>EXCLUDE</v>
      </c>
      <c r="K135" s="235"/>
      <c r="L135" s="235"/>
      <c r="M135" s="235"/>
      <c r="O135" s="72" t="str">
        <f t="shared" si="6"/>
        <v/>
      </c>
      <c r="P135" s="73" t="str">
        <f t="shared" si="7"/>
        <v/>
      </c>
      <c r="Q135" s="73" t="str">
        <f t="shared" si="8"/>
        <v/>
      </c>
      <c r="R135" s="73" t="str">
        <f t="shared" si="9"/>
        <v/>
      </c>
      <c r="S135" s="73" t="str">
        <f t="shared" si="10"/>
        <v/>
      </c>
      <c r="T135" s="73" t="str">
        <f t="shared" si="11"/>
        <v/>
      </c>
      <c r="AP135" s="192"/>
      <c r="AQ135" s="192"/>
      <c r="AR135" s="192"/>
      <c r="AS135" s="192"/>
      <c r="AT135" s="192"/>
      <c r="AU135" s="192"/>
      <c r="AV135" s="192"/>
      <c r="AW135" s="192"/>
      <c r="AX135" s="192"/>
      <c r="AY135" s="192"/>
      <c r="AZ135" s="192"/>
      <c r="BA135" s="192"/>
      <c r="BB135" s="192"/>
      <c r="BC135" s="192"/>
    </row>
    <row r="136" spans="2:55" ht="18" customHeight="1" x14ac:dyDescent="0.25">
      <c r="B136" s="234"/>
      <c r="C136" s="234"/>
      <c r="D136" s="166"/>
      <c r="E136" s="167"/>
      <c r="F136" s="167"/>
      <c r="G136" s="166"/>
      <c r="H136" s="167"/>
      <c r="I136" s="166"/>
      <c r="J136" s="71" t="str">
        <f>IF(ISERROR(VLOOKUP(#REF!,#REF!,2,FALSE)),"EXCLUDE",VLOOKUP(#REF!,#REF!,2,FALSE))</f>
        <v>EXCLUDE</v>
      </c>
      <c r="K136" s="235"/>
      <c r="L136" s="235"/>
      <c r="M136" s="235"/>
      <c r="O136" s="72" t="str">
        <f t="shared" si="6"/>
        <v/>
      </c>
      <c r="P136" s="73" t="str">
        <f t="shared" si="7"/>
        <v/>
      </c>
      <c r="Q136" s="73" t="str">
        <f t="shared" si="8"/>
        <v/>
      </c>
      <c r="R136" s="73" t="str">
        <f t="shared" si="9"/>
        <v/>
      </c>
      <c r="S136" s="73" t="str">
        <f t="shared" si="10"/>
        <v/>
      </c>
      <c r="T136" s="73" t="str">
        <f t="shared" si="11"/>
        <v/>
      </c>
      <c r="AP136" s="192"/>
      <c r="AQ136" s="192"/>
      <c r="AR136" s="192"/>
      <c r="AS136" s="192"/>
      <c r="AT136" s="192"/>
      <c r="AU136" s="192"/>
      <c r="AV136" s="192"/>
      <c r="AW136" s="192"/>
      <c r="AX136" s="192"/>
      <c r="AY136" s="192"/>
      <c r="AZ136" s="192"/>
      <c r="BA136" s="192"/>
      <c r="BB136" s="192"/>
      <c r="BC136" s="192"/>
    </row>
    <row r="137" spans="2:55" ht="18" customHeight="1" x14ac:dyDescent="0.25">
      <c r="B137" s="234"/>
      <c r="C137" s="234"/>
      <c r="D137" s="166"/>
      <c r="E137" s="167"/>
      <c r="F137" s="167"/>
      <c r="G137" s="166"/>
      <c r="H137" s="167"/>
      <c r="I137" s="166"/>
      <c r="J137" s="71" t="str">
        <f>IF(ISERROR(VLOOKUP(#REF!,#REF!,2,FALSE)),"EXCLUDE",VLOOKUP(#REF!,#REF!,2,FALSE))</f>
        <v>EXCLUDE</v>
      </c>
      <c r="K137" s="235"/>
      <c r="L137" s="235"/>
      <c r="M137" s="235"/>
      <c r="O137" s="72" t="str">
        <f t="shared" si="6"/>
        <v/>
      </c>
      <c r="P137" s="73" t="str">
        <f t="shared" si="7"/>
        <v/>
      </c>
      <c r="Q137" s="73" t="str">
        <f t="shared" si="8"/>
        <v/>
      </c>
      <c r="R137" s="73" t="str">
        <f t="shared" si="9"/>
        <v/>
      </c>
      <c r="S137" s="73" t="str">
        <f t="shared" si="10"/>
        <v/>
      </c>
      <c r="T137" s="73" t="str">
        <f t="shared" si="11"/>
        <v/>
      </c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</row>
    <row r="138" spans="2:55" ht="18" customHeight="1" x14ac:dyDescent="0.25">
      <c r="B138" s="234"/>
      <c r="C138" s="234"/>
      <c r="D138" s="166"/>
      <c r="E138" s="167"/>
      <c r="F138" s="167"/>
      <c r="G138" s="166"/>
      <c r="H138" s="167"/>
      <c r="I138" s="166"/>
      <c r="J138" s="71" t="str">
        <f>IF(ISERROR(VLOOKUP(#REF!,#REF!,2,FALSE)),"EXCLUDE",VLOOKUP(#REF!,#REF!,2,FALSE))</f>
        <v>EXCLUDE</v>
      </c>
      <c r="K138" s="235"/>
      <c r="L138" s="235"/>
      <c r="M138" s="235"/>
      <c r="O138" s="72" t="str">
        <f t="shared" si="6"/>
        <v/>
      </c>
      <c r="P138" s="73" t="str">
        <f t="shared" si="7"/>
        <v/>
      </c>
      <c r="Q138" s="73" t="str">
        <f t="shared" si="8"/>
        <v/>
      </c>
      <c r="R138" s="73" t="str">
        <f t="shared" si="9"/>
        <v/>
      </c>
      <c r="S138" s="73" t="str">
        <f t="shared" si="10"/>
        <v/>
      </c>
      <c r="T138" s="73" t="str">
        <f t="shared" si="11"/>
        <v/>
      </c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</row>
    <row r="139" spans="2:55" ht="18" customHeight="1" x14ac:dyDescent="0.25">
      <c r="B139" s="234"/>
      <c r="C139" s="234"/>
      <c r="D139" s="166"/>
      <c r="E139" s="167"/>
      <c r="F139" s="167"/>
      <c r="G139" s="166"/>
      <c r="H139" s="167"/>
      <c r="I139" s="166"/>
      <c r="J139" s="71" t="str">
        <f>IF(ISERROR(VLOOKUP(#REF!,#REF!,2,FALSE)),"EXCLUDE",VLOOKUP(#REF!,#REF!,2,FALSE))</f>
        <v>EXCLUDE</v>
      </c>
      <c r="K139" s="235"/>
      <c r="L139" s="235"/>
      <c r="M139" s="235"/>
      <c r="O139" s="72" t="str">
        <f t="shared" si="6"/>
        <v/>
      </c>
      <c r="P139" s="73" t="str">
        <f t="shared" si="7"/>
        <v/>
      </c>
      <c r="Q139" s="73" t="str">
        <f t="shared" si="8"/>
        <v/>
      </c>
      <c r="R139" s="73" t="str">
        <f t="shared" si="9"/>
        <v/>
      </c>
      <c r="S139" s="73" t="str">
        <f t="shared" si="10"/>
        <v/>
      </c>
      <c r="T139" s="73" t="str">
        <f t="shared" si="11"/>
        <v/>
      </c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</row>
    <row r="140" spans="2:55" ht="18" customHeight="1" x14ac:dyDescent="0.25">
      <c r="B140" s="234"/>
      <c r="C140" s="234"/>
      <c r="D140" s="166"/>
      <c r="E140" s="167"/>
      <c r="F140" s="167"/>
      <c r="G140" s="166"/>
      <c r="H140" s="167"/>
      <c r="I140" s="166"/>
      <c r="J140" s="71" t="str">
        <f>IF(ISERROR(VLOOKUP(#REF!,#REF!,2,FALSE)),"EXCLUDE",VLOOKUP(#REF!,#REF!,2,FALSE))</f>
        <v>EXCLUDE</v>
      </c>
      <c r="K140" s="235"/>
      <c r="L140" s="235"/>
      <c r="M140" s="235"/>
      <c r="O140" s="72" t="str">
        <f t="shared" si="6"/>
        <v/>
      </c>
      <c r="P140" s="73" t="str">
        <f t="shared" si="7"/>
        <v/>
      </c>
      <c r="Q140" s="73" t="str">
        <f t="shared" si="8"/>
        <v/>
      </c>
      <c r="R140" s="73" t="str">
        <f t="shared" si="9"/>
        <v/>
      </c>
      <c r="S140" s="73" t="str">
        <f t="shared" si="10"/>
        <v/>
      </c>
      <c r="T140" s="73" t="str">
        <f t="shared" si="11"/>
        <v/>
      </c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</row>
    <row r="141" spans="2:55" ht="18" customHeight="1" x14ac:dyDescent="0.25">
      <c r="B141" s="234"/>
      <c r="C141" s="234"/>
      <c r="D141" s="166"/>
      <c r="E141" s="167"/>
      <c r="F141" s="167"/>
      <c r="G141" s="166"/>
      <c r="H141" s="167"/>
      <c r="I141" s="166"/>
      <c r="J141" s="71" t="str">
        <f>IF(ISERROR(VLOOKUP(#REF!,#REF!,2,FALSE)),"EXCLUDE",VLOOKUP(#REF!,#REF!,2,FALSE))</f>
        <v>EXCLUDE</v>
      </c>
      <c r="K141" s="235"/>
      <c r="L141" s="235"/>
      <c r="M141" s="235"/>
      <c r="O141" s="72" t="str">
        <f t="shared" si="6"/>
        <v/>
      </c>
      <c r="P141" s="73" t="str">
        <f t="shared" si="7"/>
        <v/>
      </c>
      <c r="Q141" s="73" t="str">
        <f t="shared" si="8"/>
        <v/>
      </c>
      <c r="R141" s="73" t="str">
        <f t="shared" si="9"/>
        <v/>
      </c>
      <c r="S141" s="73" t="str">
        <f t="shared" si="10"/>
        <v/>
      </c>
      <c r="T141" s="73" t="str">
        <f t="shared" si="11"/>
        <v/>
      </c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</row>
    <row r="142" spans="2:55" ht="18" customHeight="1" x14ac:dyDescent="0.25">
      <c r="B142" s="234"/>
      <c r="C142" s="234"/>
      <c r="D142" s="166"/>
      <c r="E142" s="167"/>
      <c r="F142" s="167"/>
      <c r="G142" s="166"/>
      <c r="H142" s="167"/>
      <c r="I142" s="166"/>
      <c r="J142" s="71" t="str">
        <f>IF(ISERROR(VLOOKUP(#REF!,#REF!,2,FALSE)),"EXCLUDE",VLOOKUP(#REF!,#REF!,2,FALSE))</f>
        <v>EXCLUDE</v>
      </c>
      <c r="K142" s="235"/>
      <c r="L142" s="235"/>
      <c r="M142" s="235"/>
      <c r="O142" s="72" t="str">
        <f t="shared" si="6"/>
        <v/>
      </c>
      <c r="P142" s="73" t="str">
        <f t="shared" si="7"/>
        <v/>
      </c>
      <c r="Q142" s="73" t="str">
        <f t="shared" si="8"/>
        <v/>
      </c>
      <c r="R142" s="73" t="str">
        <f t="shared" si="9"/>
        <v/>
      </c>
      <c r="S142" s="73" t="str">
        <f t="shared" si="10"/>
        <v/>
      </c>
      <c r="T142" s="73" t="str">
        <f t="shared" si="11"/>
        <v/>
      </c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</row>
    <row r="143" spans="2:55" ht="18" customHeight="1" x14ac:dyDescent="0.25">
      <c r="B143" s="234"/>
      <c r="C143" s="234"/>
      <c r="D143" s="166"/>
      <c r="E143" s="167"/>
      <c r="F143" s="167"/>
      <c r="G143" s="166"/>
      <c r="H143" s="167"/>
      <c r="I143" s="166"/>
      <c r="J143" s="71" t="str">
        <f>IF(ISERROR(VLOOKUP(#REF!,#REF!,2,FALSE)),"EXCLUDE",VLOOKUP(#REF!,#REF!,2,FALSE))</f>
        <v>EXCLUDE</v>
      </c>
      <c r="K143" s="235"/>
      <c r="L143" s="235"/>
      <c r="M143" s="235"/>
      <c r="O143" s="72" t="str">
        <f t="shared" si="6"/>
        <v/>
      </c>
      <c r="P143" s="73" t="str">
        <f t="shared" si="7"/>
        <v/>
      </c>
      <c r="Q143" s="73" t="str">
        <f t="shared" si="8"/>
        <v/>
      </c>
      <c r="R143" s="73" t="str">
        <f t="shared" si="9"/>
        <v/>
      </c>
      <c r="S143" s="73" t="str">
        <f t="shared" si="10"/>
        <v/>
      </c>
      <c r="T143" s="73" t="str">
        <f t="shared" si="11"/>
        <v/>
      </c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</row>
    <row r="144" spans="2:55" ht="18" customHeight="1" x14ac:dyDescent="0.25">
      <c r="B144" s="234"/>
      <c r="C144" s="234"/>
      <c r="D144" s="166"/>
      <c r="E144" s="167"/>
      <c r="F144" s="167"/>
      <c r="G144" s="166"/>
      <c r="H144" s="167"/>
      <c r="I144" s="166"/>
      <c r="J144" s="71" t="str">
        <f>IF(ISERROR(VLOOKUP(#REF!,#REF!,2,FALSE)),"EXCLUDE",VLOOKUP(#REF!,#REF!,2,FALSE))</f>
        <v>EXCLUDE</v>
      </c>
      <c r="K144" s="235"/>
      <c r="L144" s="235"/>
      <c r="M144" s="235"/>
      <c r="O144" s="72" t="str">
        <f t="shared" si="6"/>
        <v/>
      </c>
      <c r="P144" s="73" t="str">
        <f t="shared" si="7"/>
        <v/>
      </c>
      <c r="Q144" s="73" t="str">
        <f t="shared" si="8"/>
        <v/>
      </c>
      <c r="R144" s="73" t="str">
        <f t="shared" si="9"/>
        <v/>
      </c>
      <c r="S144" s="73" t="str">
        <f t="shared" si="10"/>
        <v/>
      </c>
      <c r="T144" s="73" t="str">
        <f t="shared" si="11"/>
        <v/>
      </c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</row>
    <row r="145" spans="2:55" ht="18" customHeight="1" x14ac:dyDescent="0.25">
      <c r="B145" s="234"/>
      <c r="C145" s="234"/>
      <c r="D145" s="166"/>
      <c r="E145" s="167"/>
      <c r="F145" s="166"/>
      <c r="G145" s="166"/>
      <c r="H145" s="166"/>
      <c r="I145" s="166"/>
      <c r="J145" s="71" t="str">
        <f>IF(ISERROR(VLOOKUP(#REF!,#REF!,2,FALSE)),"EXCLUDE",VLOOKUP(#REF!,#REF!,2,FALSE))</f>
        <v>EXCLUDE</v>
      </c>
      <c r="K145" s="235"/>
      <c r="L145" s="235"/>
      <c r="M145" s="235"/>
      <c r="O145" s="72" t="str">
        <f t="shared" si="6"/>
        <v/>
      </c>
      <c r="P145" s="73" t="str">
        <f t="shared" si="7"/>
        <v/>
      </c>
      <c r="Q145" s="73" t="str">
        <f t="shared" si="8"/>
        <v/>
      </c>
      <c r="R145" s="73" t="str">
        <f t="shared" si="9"/>
        <v/>
      </c>
      <c r="S145" s="73" t="str">
        <f t="shared" si="10"/>
        <v/>
      </c>
      <c r="T145" s="73" t="str">
        <f t="shared" si="11"/>
        <v/>
      </c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</row>
    <row r="146" spans="2:55" ht="18" customHeight="1" x14ac:dyDescent="0.25">
      <c r="B146" s="234"/>
      <c r="C146" s="234"/>
      <c r="D146" s="166"/>
      <c r="E146" s="167"/>
      <c r="F146" s="166"/>
      <c r="G146" s="166"/>
      <c r="H146" s="166"/>
      <c r="I146" s="166"/>
      <c r="J146" s="71" t="str">
        <f>IF(ISERROR(VLOOKUP(#REF!,#REF!,2,FALSE)),"EXCLUDE",VLOOKUP(#REF!,#REF!,2,FALSE))</f>
        <v>EXCLUDE</v>
      </c>
      <c r="K146" s="235"/>
      <c r="L146" s="235"/>
      <c r="M146" s="235"/>
      <c r="O146" s="72" t="str">
        <f t="shared" si="6"/>
        <v/>
      </c>
      <c r="P146" s="73" t="str">
        <f t="shared" si="7"/>
        <v/>
      </c>
      <c r="Q146" s="73" t="str">
        <f t="shared" si="8"/>
        <v/>
      </c>
      <c r="R146" s="73" t="str">
        <f t="shared" si="9"/>
        <v/>
      </c>
      <c r="S146" s="73" t="str">
        <f t="shared" si="10"/>
        <v/>
      </c>
      <c r="T146" s="73" t="str">
        <f t="shared" si="11"/>
        <v/>
      </c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</row>
    <row r="147" spans="2:55" ht="18" customHeight="1" x14ac:dyDescent="0.25">
      <c r="B147" s="234"/>
      <c r="C147" s="234"/>
      <c r="D147" s="166"/>
      <c r="E147" s="167"/>
      <c r="F147" s="167"/>
      <c r="G147" s="166"/>
      <c r="H147" s="167"/>
      <c r="I147" s="166"/>
      <c r="J147" s="71" t="str">
        <f>IF(ISERROR(VLOOKUP(#REF!,#REF!,2,FALSE)),"EXCLUDE",VLOOKUP(#REF!,#REF!,2,FALSE))</f>
        <v>EXCLUDE</v>
      </c>
      <c r="K147" s="235"/>
      <c r="L147" s="235"/>
      <c r="M147" s="235"/>
      <c r="O147" s="72" t="str">
        <f t="shared" si="6"/>
        <v/>
      </c>
      <c r="P147" s="73" t="str">
        <f t="shared" si="7"/>
        <v/>
      </c>
      <c r="Q147" s="73" t="str">
        <f t="shared" si="8"/>
        <v/>
      </c>
      <c r="R147" s="73" t="str">
        <f t="shared" si="9"/>
        <v/>
      </c>
      <c r="S147" s="73" t="str">
        <f t="shared" si="10"/>
        <v/>
      </c>
      <c r="T147" s="73" t="str">
        <f t="shared" si="11"/>
        <v/>
      </c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</row>
    <row r="148" spans="2:55" ht="18" customHeight="1" x14ac:dyDescent="0.25">
      <c r="B148" s="234"/>
      <c r="C148" s="234"/>
      <c r="D148" s="166"/>
      <c r="E148" s="167"/>
      <c r="F148" s="166"/>
      <c r="G148" s="166"/>
      <c r="H148" s="166"/>
      <c r="I148" s="166"/>
      <c r="J148" s="71" t="str">
        <f>IF(ISERROR(VLOOKUP(#REF!,#REF!,2,FALSE)),"EXCLUDE",VLOOKUP(#REF!,#REF!,2,FALSE))</f>
        <v>EXCLUDE</v>
      </c>
      <c r="K148" s="235"/>
      <c r="L148" s="235"/>
      <c r="M148" s="235"/>
      <c r="O148" s="72" t="str">
        <f t="shared" si="6"/>
        <v/>
      </c>
      <c r="P148" s="73" t="str">
        <f t="shared" si="7"/>
        <v/>
      </c>
      <c r="Q148" s="73" t="str">
        <f t="shared" si="8"/>
        <v/>
      </c>
      <c r="R148" s="73" t="str">
        <f t="shared" si="9"/>
        <v/>
      </c>
      <c r="S148" s="73" t="str">
        <f t="shared" si="10"/>
        <v/>
      </c>
      <c r="T148" s="73" t="str">
        <f t="shared" si="11"/>
        <v/>
      </c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</row>
    <row r="149" spans="2:55" ht="18" customHeight="1" x14ac:dyDescent="0.25">
      <c r="B149" s="234"/>
      <c r="C149" s="234"/>
      <c r="D149" s="166"/>
      <c r="E149" s="167"/>
      <c r="F149" s="166"/>
      <c r="G149" s="166"/>
      <c r="H149" s="166"/>
      <c r="I149" s="166"/>
      <c r="J149" s="71" t="str">
        <f>IF(ISERROR(VLOOKUP(#REF!,#REF!,2,FALSE)),"EXCLUDE",VLOOKUP(#REF!,#REF!,2,FALSE))</f>
        <v>EXCLUDE</v>
      </c>
      <c r="K149" s="235"/>
      <c r="L149" s="235"/>
      <c r="M149" s="235"/>
      <c r="O149" s="72" t="str">
        <f t="shared" si="6"/>
        <v/>
      </c>
      <c r="P149" s="73" t="str">
        <f t="shared" si="7"/>
        <v/>
      </c>
      <c r="Q149" s="73" t="str">
        <f t="shared" si="8"/>
        <v/>
      </c>
      <c r="R149" s="73" t="str">
        <f t="shared" si="9"/>
        <v/>
      </c>
      <c r="S149" s="73" t="str">
        <f t="shared" si="10"/>
        <v/>
      </c>
      <c r="T149" s="73" t="str">
        <f t="shared" si="11"/>
        <v/>
      </c>
      <c r="AP149" s="192"/>
      <c r="AQ149" s="192"/>
      <c r="AR149" s="192"/>
      <c r="AS149" s="192"/>
      <c r="AT149" s="192"/>
      <c r="AU149" s="192"/>
      <c r="AV149" s="192"/>
      <c r="AW149" s="192"/>
      <c r="AX149" s="192"/>
      <c r="AY149" s="192"/>
      <c r="AZ149" s="192"/>
      <c r="BA149" s="192"/>
      <c r="BB149" s="192"/>
      <c r="BC149" s="192"/>
    </row>
    <row r="150" spans="2:55" ht="18" customHeight="1" x14ac:dyDescent="0.25">
      <c r="B150" s="234"/>
      <c r="C150" s="234"/>
      <c r="D150" s="166"/>
      <c r="E150" s="167"/>
      <c r="F150" s="167"/>
      <c r="G150" s="166"/>
      <c r="H150" s="167"/>
      <c r="I150" s="166"/>
      <c r="J150" s="71" t="str">
        <f>IF(ISERROR(VLOOKUP(#REF!,#REF!,2,FALSE)),"EXCLUDE",VLOOKUP(#REF!,#REF!,2,FALSE))</f>
        <v>EXCLUDE</v>
      </c>
      <c r="K150" s="235"/>
      <c r="L150" s="235"/>
      <c r="M150" s="235"/>
      <c r="O150" s="72" t="str">
        <f t="shared" si="6"/>
        <v/>
      </c>
      <c r="P150" s="73" t="str">
        <f t="shared" si="7"/>
        <v/>
      </c>
      <c r="Q150" s="73" t="str">
        <f t="shared" si="8"/>
        <v/>
      </c>
      <c r="R150" s="73" t="str">
        <f t="shared" si="9"/>
        <v/>
      </c>
      <c r="S150" s="73" t="str">
        <f t="shared" si="10"/>
        <v/>
      </c>
      <c r="T150" s="73" t="str">
        <f t="shared" si="11"/>
        <v/>
      </c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192"/>
      <c r="BA150" s="192"/>
      <c r="BB150" s="192"/>
      <c r="BC150" s="192"/>
    </row>
    <row r="151" spans="2:55" ht="18" customHeight="1" x14ac:dyDescent="0.25">
      <c r="B151" s="234"/>
      <c r="C151" s="234"/>
      <c r="D151" s="166"/>
      <c r="E151" s="167"/>
      <c r="F151" s="167"/>
      <c r="G151" s="166"/>
      <c r="H151" s="167"/>
      <c r="I151" s="166"/>
      <c r="J151" s="71" t="str">
        <f>IF(ISERROR(VLOOKUP(#REF!,#REF!,2,FALSE)),"EXCLUDE",VLOOKUP(#REF!,#REF!,2,FALSE))</f>
        <v>EXCLUDE</v>
      </c>
      <c r="K151" s="235"/>
      <c r="L151" s="235"/>
      <c r="M151" s="235"/>
      <c r="O151" s="72" t="str">
        <f t="shared" si="6"/>
        <v/>
      </c>
      <c r="P151" s="73" t="str">
        <f t="shared" si="7"/>
        <v/>
      </c>
      <c r="Q151" s="73" t="str">
        <f t="shared" si="8"/>
        <v/>
      </c>
      <c r="R151" s="73" t="str">
        <f t="shared" si="9"/>
        <v/>
      </c>
      <c r="S151" s="73" t="str">
        <f t="shared" si="10"/>
        <v/>
      </c>
      <c r="T151" s="73" t="str">
        <f t="shared" si="11"/>
        <v/>
      </c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</row>
    <row r="152" spans="2:55" ht="18" customHeight="1" x14ac:dyDescent="0.25">
      <c r="B152" s="234"/>
      <c r="C152" s="234"/>
      <c r="D152" s="166"/>
      <c r="E152" s="167"/>
      <c r="F152" s="167"/>
      <c r="G152" s="166"/>
      <c r="H152" s="167"/>
      <c r="I152" s="166"/>
      <c r="J152" s="71" t="str">
        <f>IF(ISERROR(VLOOKUP(#REF!,#REF!,2,FALSE)),"EXCLUDE",VLOOKUP(#REF!,#REF!,2,FALSE))</f>
        <v>EXCLUDE</v>
      </c>
      <c r="K152" s="235"/>
      <c r="L152" s="235"/>
      <c r="M152" s="235"/>
      <c r="O152" s="72" t="str">
        <f t="shared" si="6"/>
        <v/>
      </c>
      <c r="P152" s="73" t="str">
        <f t="shared" si="7"/>
        <v/>
      </c>
      <c r="Q152" s="73" t="str">
        <f t="shared" si="8"/>
        <v/>
      </c>
      <c r="R152" s="73" t="str">
        <f t="shared" si="9"/>
        <v/>
      </c>
      <c r="S152" s="73" t="str">
        <f t="shared" si="10"/>
        <v/>
      </c>
      <c r="T152" s="73" t="str">
        <f t="shared" si="11"/>
        <v/>
      </c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</row>
    <row r="153" spans="2:55" ht="18" customHeight="1" x14ac:dyDescent="0.25">
      <c r="B153" s="234"/>
      <c r="C153" s="234"/>
      <c r="D153" s="166"/>
      <c r="E153" s="167"/>
      <c r="F153" s="167"/>
      <c r="G153" s="166"/>
      <c r="H153" s="167"/>
      <c r="I153" s="166"/>
      <c r="J153" s="71" t="str">
        <f>IF(ISERROR(VLOOKUP(#REF!,#REF!,2,FALSE)),"EXCLUDE",VLOOKUP(#REF!,#REF!,2,FALSE))</f>
        <v>EXCLUDE</v>
      </c>
      <c r="K153" s="235"/>
      <c r="L153" s="235"/>
      <c r="M153" s="235"/>
      <c r="O153" s="72" t="str">
        <f t="shared" si="6"/>
        <v/>
      </c>
      <c r="P153" s="73" t="str">
        <f t="shared" si="7"/>
        <v/>
      </c>
      <c r="Q153" s="73" t="str">
        <f t="shared" si="8"/>
        <v/>
      </c>
      <c r="R153" s="73" t="str">
        <f t="shared" si="9"/>
        <v/>
      </c>
      <c r="S153" s="73" t="str">
        <f t="shared" si="10"/>
        <v/>
      </c>
      <c r="T153" s="73" t="str">
        <f t="shared" si="11"/>
        <v/>
      </c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</row>
    <row r="154" spans="2:55" ht="18" customHeight="1" x14ac:dyDescent="0.25">
      <c r="B154" s="234"/>
      <c r="C154" s="234"/>
      <c r="D154" s="166"/>
      <c r="E154" s="167"/>
      <c r="F154" s="166"/>
      <c r="G154" s="166"/>
      <c r="H154" s="166"/>
      <c r="I154" s="166"/>
      <c r="J154" s="71" t="str">
        <f>IF(ISERROR(VLOOKUP(#REF!,#REF!,2,FALSE)),"EXCLUDE",VLOOKUP(#REF!,#REF!,2,FALSE))</f>
        <v>EXCLUDE</v>
      </c>
      <c r="K154" s="235"/>
      <c r="L154" s="235"/>
      <c r="M154" s="235"/>
      <c r="O154" s="72" t="str">
        <f t="shared" si="6"/>
        <v/>
      </c>
      <c r="P154" s="73" t="str">
        <f t="shared" si="7"/>
        <v/>
      </c>
      <c r="Q154" s="73" t="str">
        <f t="shared" si="8"/>
        <v/>
      </c>
      <c r="R154" s="73" t="str">
        <f t="shared" si="9"/>
        <v/>
      </c>
      <c r="S154" s="73" t="str">
        <f t="shared" si="10"/>
        <v/>
      </c>
      <c r="T154" s="73" t="str">
        <f t="shared" si="11"/>
        <v/>
      </c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</row>
    <row r="155" spans="2:55" ht="18" customHeight="1" x14ac:dyDescent="0.25">
      <c r="B155" s="234"/>
      <c r="C155" s="234"/>
      <c r="D155" s="166"/>
      <c r="E155" s="167"/>
      <c r="F155" s="167"/>
      <c r="G155" s="166"/>
      <c r="H155" s="167"/>
      <c r="I155" s="166"/>
      <c r="J155" s="71" t="str">
        <f>IF(ISERROR(VLOOKUP(#REF!,#REF!,2,FALSE)),"EXCLUDE",VLOOKUP(#REF!,#REF!,2,FALSE))</f>
        <v>EXCLUDE</v>
      </c>
      <c r="K155" s="235"/>
      <c r="L155" s="235"/>
      <c r="M155" s="235"/>
      <c r="O155" s="72" t="str">
        <f t="shared" si="6"/>
        <v/>
      </c>
      <c r="P155" s="73" t="str">
        <f t="shared" si="7"/>
        <v/>
      </c>
      <c r="Q155" s="73" t="str">
        <f t="shared" si="8"/>
        <v/>
      </c>
      <c r="R155" s="73" t="str">
        <f t="shared" si="9"/>
        <v/>
      </c>
      <c r="S155" s="73" t="str">
        <f t="shared" si="10"/>
        <v/>
      </c>
      <c r="T155" s="73" t="str">
        <f t="shared" si="11"/>
        <v/>
      </c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</row>
    <row r="156" spans="2:55" ht="18" customHeight="1" x14ac:dyDescent="0.25">
      <c r="B156" s="234"/>
      <c r="C156" s="234"/>
      <c r="D156" s="166"/>
      <c r="E156" s="167"/>
      <c r="F156" s="166"/>
      <c r="G156" s="166"/>
      <c r="H156" s="166"/>
      <c r="I156" s="166"/>
      <c r="J156" s="71" t="str">
        <f>IF(ISERROR(VLOOKUP(#REF!,#REF!,2,FALSE)),"EXCLUDE",VLOOKUP(#REF!,#REF!,2,FALSE))</f>
        <v>EXCLUDE</v>
      </c>
      <c r="K156" s="235"/>
      <c r="L156" s="235"/>
      <c r="M156" s="235"/>
      <c r="O156" s="72" t="str">
        <f t="shared" si="6"/>
        <v/>
      </c>
      <c r="P156" s="73" t="str">
        <f t="shared" si="7"/>
        <v/>
      </c>
      <c r="Q156" s="73" t="str">
        <f t="shared" si="8"/>
        <v/>
      </c>
      <c r="R156" s="73" t="str">
        <f t="shared" si="9"/>
        <v/>
      </c>
      <c r="S156" s="73" t="str">
        <f t="shared" si="10"/>
        <v/>
      </c>
      <c r="T156" s="73" t="str">
        <f t="shared" si="11"/>
        <v/>
      </c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  <c r="BA156" s="192"/>
      <c r="BB156" s="192"/>
      <c r="BC156" s="192"/>
    </row>
    <row r="157" spans="2:55" ht="18" customHeight="1" x14ac:dyDescent="0.25">
      <c r="B157" s="234"/>
      <c r="C157" s="234"/>
      <c r="D157" s="166"/>
      <c r="E157" s="167"/>
      <c r="F157" s="166"/>
      <c r="G157" s="166"/>
      <c r="H157" s="166"/>
      <c r="I157" s="166"/>
      <c r="J157" s="71" t="str">
        <f>IF(ISERROR(VLOOKUP(#REF!,#REF!,2,FALSE)),"EXCLUDE",VLOOKUP(#REF!,#REF!,2,FALSE))</f>
        <v>EXCLUDE</v>
      </c>
      <c r="K157" s="235"/>
      <c r="L157" s="235"/>
      <c r="M157" s="235"/>
      <c r="O157" s="72" t="str">
        <f t="shared" si="6"/>
        <v/>
      </c>
      <c r="P157" s="73" t="str">
        <f t="shared" si="7"/>
        <v/>
      </c>
      <c r="Q157" s="73" t="str">
        <f t="shared" si="8"/>
        <v/>
      </c>
      <c r="R157" s="73" t="str">
        <f t="shared" si="9"/>
        <v/>
      </c>
      <c r="S157" s="73" t="str">
        <f t="shared" si="10"/>
        <v/>
      </c>
      <c r="T157" s="73" t="str">
        <f t="shared" si="11"/>
        <v/>
      </c>
      <c r="AP157" s="192"/>
      <c r="AQ157" s="192"/>
      <c r="AR157" s="192"/>
      <c r="AS157" s="192"/>
      <c r="AT157" s="192"/>
      <c r="AU157" s="192"/>
      <c r="AV157" s="192"/>
      <c r="AW157" s="192"/>
      <c r="AX157" s="192"/>
      <c r="AY157" s="192"/>
      <c r="AZ157" s="192"/>
      <c r="BA157" s="192"/>
      <c r="BB157" s="192"/>
      <c r="BC157" s="192"/>
    </row>
    <row r="158" spans="2:55" ht="18" customHeight="1" x14ac:dyDescent="0.25">
      <c r="B158" s="234"/>
      <c r="C158" s="234"/>
      <c r="D158" s="166"/>
      <c r="E158" s="167"/>
      <c r="F158" s="167"/>
      <c r="G158" s="166"/>
      <c r="H158" s="167"/>
      <c r="I158" s="166"/>
      <c r="J158" s="71" t="str">
        <f>IF(ISERROR(VLOOKUP(#REF!,#REF!,2,FALSE)),"EXCLUDE",VLOOKUP(#REF!,#REF!,2,FALSE))</f>
        <v>EXCLUDE</v>
      </c>
      <c r="K158" s="235"/>
      <c r="L158" s="235"/>
      <c r="M158" s="235"/>
      <c r="O158" s="72" t="str">
        <f t="shared" si="6"/>
        <v/>
      </c>
      <c r="P158" s="73" t="str">
        <f t="shared" si="7"/>
        <v/>
      </c>
      <c r="Q158" s="73" t="str">
        <f t="shared" si="8"/>
        <v/>
      </c>
      <c r="R158" s="73" t="str">
        <f t="shared" si="9"/>
        <v/>
      </c>
      <c r="S158" s="73" t="str">
        <f t="shared" si="10"/>
        <v/>
      </c>
      <c r="T158" s="73" t="str">
        <f t="shared" si="11"/>
        <v/>
      </c>
      <c r="AP158" s="192"/>
      <c r="AQ158" s="192"/>
      <c r="AR158" s="192"/>
      <c r="AS158" s="192"/>
      <c r="AT158" s="192"/>
      <c r="AU158" s="192"/>
      <c r="AV158" s="192"/>
      <c r="AW158" s="192"/>
      <c r="AX158" s="192"/>
      <c r="AY158" s="192"/>
      <c r="AZ158" s="192"/>
      <c r="BA158" s="192"/>
      <c r="BB158" s="192"/>
      <c r="BC158" s="192"/>
    </row>
    <row r="159" spans="2:55" ht="18" customHeight="1" x14ac:dyDescent="0.25">
      <c r="B159" s="234"/>
      <c r="C159" s="234"/>
      <c r="D159" s="166"/>
      <c r="E159" s="167"/>
      <c r="F159" s="166"/>
      <c r="G159" s="166"/>
      <c r="H159" s="166"/>
      <c r="I159" s="166"/>
      <c r="J159" s="71" t="str">
        <f>IF(ISERROR(VLOOKUP(#REF!,#REF!,2,FALSE)),"EXCLUDE",VLOOKUP(#REF!,#REF!,2,FALSE))</f>
        <v>EXCLUDE</v>
      </c>
      <c r="K159" s="235"/>
      <c r="L159" s="235"/>
      <c r="M159" s="235"/>
      <c r="O159" s="72" t="str">
        <f t="shared" si="6"/>
        <v/>
      </c>
      <c r="P159" s="73" t="str">
        <f t="shared" si="7"/>
        <v/>
      </c>
      <c r="Q159" s="73" t="str">
        <f t="shared" si="8"/>
        <v/>
      </c>
      <c r="R159" s="73" t="str">
        <f t="shared" si="9"/>
        <v/>
      </c>
      <c r="S159" s="73" t="str">
        <f t="shared" si="10"/>
        <v/>
      </c>
      <c r="T159" s="73" t="str">
        <f t="shared" si="11"/>
        <v/>
      </c>
      <c r="AP159" s="192"/>
      <c r="AQ159" s="192"/>
      <c r="AR159" s="192"/>
      <c r="AS159" s="192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</row>
    <row r="160" spans="2:55" ht="18" customHeight="1" x14ac:dyDescent="0.25">
      <c r="B160" s="234"/>
      <c r="C160" s="234"/>
      <c r="D160" s="166"/>
      <c r="E160" s="167"/>
      <c r="F160" s="166"/>
      <c r="G160" s="166"/>
      <c r="H160" s="166"/>
      <c r="I160" s="166"/>
      <c r="J160" s="71" t="str">
        <f>IF(ISERROR(VLOOKUP(#REF!,#REF!,2,FALSE)),"EXCLUDE",VLOOKUP(#REF!,#REF!,2,FALSE))</f>
        <v>EXCLUDE</v>
      </c>
      <c r="K160" s="235"/>
      <c r="L160" s="235"/>
      <c r="M160" s="235"/>
      <c r="O160" s="75" t="str">
        <f t="shared" si="6"/>
        <v/>
      </c>
      <c r="P160" s="76" t="str">
        <f t="shared" si="7"/>
        <v/>
      </c>
      <c r="Q160" s="76" t="str">
        <f t="shared" si="8"/>
        <v/>
      </c>
      <c r="R160" s="76" t="str">
        <f t="shared" si="9"/>
        <v/>
      </c>
      <c r="S160" s="76" t="str">
        <f t="shared" si="10"/>
        <v/>
      </c>
      <c r="T160" s="76" t="str">
        <f t="shared" si="11"/>
        <v/>
      </c>
      <c r="AP160" s="192"/>
      <c r="AQ160" s="192"/>
      <c r="AR160" s="192"/>
      <c r="AS160" s="192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</row>
    <row r="161" spans="2:35" ht="18" customHeight="1" x14ac:dyDescent="0.25">
      <c r="AA161" s="46"/>
      <c r="AI161" s="77"/>
    </row>
    <row r="162" spans="2:35" ht="18" customHeight="1" x14ac:dyDescent="0.25">
      <c r="AA162" s="46"/>
      <c r="AI162" s="77"/>
    </row>
    <row r="163" spans="2:35" ht="18" customHeight="1" x14ac:dyDescent="0.25">
      <c r="C163" s="16"/>
      <c r="D163" s="78" t="s">
        <v>371</v>
      </c>
      <c r="E163" s="78" t="s">
        <v>372</v>
      </c>
      <c r="G163" s="46"/>
      <c r="I163" s="79" t="s">
        <v>373</v>
      </c>
      <c r="J163" s="80" t="str">
        <f>IF(D164=0,"",CORREL(Q61:Q160,T61:T160))</f>
        <v/>
      </c>
      <c r="AA163" s="46"/>
      <c r="AI163" s="77"/>
    </row>
    <row r="164" spans="2:35" ht="18" customHeight="1" x14ac:dyDescent="0.25">
      <c r="C164" s="20" t="s">
        <v>318</v>
      </c>
      <c r="D164" s="73">
        <f>COUNT(Q61:Q160)</f>
        <v>0</v>
      </c>
      <c r="E164" s="73">
        <f>COUNT(T61:T160)</f>
        <v>0</v>
      </c>
      <c r="G164" s="46"/>
      <c r="I164" s="79" t="s">
        <v>374</v>
      </c>
      <c r="J164" s="80" t="str">
        <f>IF(D164=0,"",J163^2)</f>
        <v/>
      </c>
      <c r="AA164" s="46"/>
      <c r="AI164" s="77"/>
    </row>
    <row r="165" spans="2:35" ht="18" customHeight="1" x14ac:dyDescent="0.25">
      <c r="C165" s="65" t="s">
        <v>375</v>
      </c>
      <c r="D165" s="80" t="str">
        <f>IF(ISERROR(AVERAGE(Q61:Q160)),"",AVERAGE(Q61:Q160))</f>
        <v/>
      </c>
      <c r="E165" s="80" t="str">
        <f>IF(ISERROR(AVERAGE(T61:T160)),"",AVERAGE(T61:T160))</f>
        <v/>
      </c>
      <c r="AA165" s="46"/>
      <c r="AI165" s="77"/>
    </row>
    <row r="166" spans="2:35" ht="18" customHeight="1" x14ac:dyDescent="0.25">
      <c r="AA166" s="46"/>
      <c r="AI166" s="77"/>
    </row>
    <row r="167" spans="2:35" ht="18" customHeight="1" x14ac:dyDescent="0.25">
      <c r="B167" s="81"/>
      <c r="C167" s="186"/>
      <c r="D167" s="186"/>
      <c r="E167" s="186"/>
      <c r="F167" s="186"/>
      <c r="G167" s="186"/>
      <c r="H167" s="82"/>
      <c r="J167" s="17"/>
      <c r="AA167" s="46"/>
      <c r="AI167" s="77"/>
    </row>
    <row r="168" spans="2:35" ht="18" customHeight="1" x14ac:dyDescent="0.25">
      <c r="C168" s="187"/>
      <c r="D168" s="188"/>
      <c r="E168" s="68"/>
      <c r="F168" s="68"/>
      <c r="G168" s="68"/>
      <c r="AA168" s="46"/>
      <c r="AI168" s="77"/>
    </row>
    <row r="169" spans="2:35" ht="18" customHeight="1" x14ac:dyDescent="0.25">
      <c r="C169" s="189"/>
      <c r="D169" s="190"/>
      <c r="E169" s="190"/>
      <c r="F169" s="190"/>
      <c r="G169" s="190"/>
      <c r="AA169" s="46"/>
      <c r="AI169" s="77"/>
    </row>
    <row r="170" spans="2:35" ht="18" customHeight="1" x14ac:dyDescent="0.25">
      <c r="B170" s="16"/>
      <c r="C170" s="189"/>
      <c r="D170" s="190"/>
      <c r="E170" s="190"/>
      <c r="F170" s="190"/>
      <c r="G170" s="190"/>
      <c r="AA170" s="46"/>
      <c r="AI170" s="77"/>
    </row>
    <row r="171" spans="2:35" ht="18" customHeight="1" x14ac:dyDescent="0.25">
      <c r="B171" s="16"/>
      <c r="C171" s="65"/>
      <c r="D171" s="84"/>
      <c r="E171" s="84"/>
      <c r="F171" s="84"/>
      <c r="G171" s="84"/>
      <c r="AA171" s="46"/>
      <c r="AI171" s="77"/>
    </row>
    <row r="172" spans="2:35" ht="18" customHeight="1" x14ac:dyDescent="0.25">
      <c r="B172" s="16"/>
      <c r="C172" s="65"/>
      <c r="D172" s="84"/>
      <c r="E172" s="84"/>
      <c r="F172" s="84"/>
      <c r="G172" s="84"/>
      <c r="AA172" s="46"/>
      <c r="AI172" s="77"/>
    </row>
    <row r="173" spans="2:35" ht="18" customHeight="1" x14ac:dyDescent="0.25">
      <c r="B173" s="16"/>
      <c r="C173" s="65"/>
      <c r="D173" s="84"/>
      <c r="E173" s="84"/>
      <c r="F173" s="84"/>
      <c r="G173" s="84"/>
      <c r="AA173" s="46"/>
      <c r="AI173" s="77"/>
    </row>
    <row r="174" spans="2:35" s="14" customFormat="1" ht="18" customHeight="1" x14ac:dyDescent="0.25">
      <c r="B174" s="85" t="s">
        <v>356</v>
      </c>
      <c r="C174" s="86"/>
      <c r="Z174" s="87"/>
      <c r="AH174" s="88"/>
    </row>
    <row r="175" spans="2:35" ht="18" customHeight="1" x14ac:dyDescent="0.25">
      <c r="C175" s="16" t="s">
        <v>381</v>
      </c>
      <c r="Z175" s="46"/>
      <c r="AH175" s="77"/>
    </row>
    <row r="176" spans="2:35" ht="18" customHeight="1" x14ac:dyDescent="0.25">
      <c r="C176" s="131"/>
      <c r="D176" s="191"/>
      <c r="E176" s="191"/>
      <c r="F176" s="191"/>
      <c r="G176" s="191"/>
      <c r="H176" s="191"/>
      <c r="I176" s="191"/>
      <c r="Z176" s="46"/>
      <c r="AH176" s="77"/>
    </row>
    <row r="177" spans="3:34" ht="18" customHeight="1" x14ac:dyDescent="0.25">
      <c r="C177" s="131"/>
      <c r="D177" s="191"/>
      <c r="E177" s="191"/>
      <c r="F177" s="191"/>
      <c r="G177" s="191"/>
      <c r="H177" s="191"/>
      <c r="I177" s="191"/>
      <c r="Z177" s="46"/>
      <c r="AH177" s="77"/>
    </row>
    <row r="178" spans="3:34" ht="18" customHeight="1" x14ac:dyDescent="0.25">
      <c r="C178" s="131"/>
      <c r="D178" s="191"/>
      <c r="E178" s="191"/>
      <c r="F178" s="191"/>
      <c r="G178" s="191"/>
      <c r="H178" s="191"/>
      <c r="I178" s="191"/>
      <c r="Z178" s="46"/>
      <c r="AH178" s="77"/>
    </row>
    <row r="179" spans="3:34" ht="18" customHeight="1" x14ac:dyDescent="0.25">
      <c r="C179" s="131"/>
      <c r="D179" s="191"/>
      <c r="E179" s="191"/>
      <c r="F179" s="191"/>
      <c r="G179" s="191"/>
      <c r="H179" s="191"/>
      <c r="I179" s="191"/>
      <c r="Z179" s="46"/>
      <c r="AH179" s="77"/>
    </row>
    <row r="180" spans="3:34" ht="18" customHeight="1" x14ac:dyDescent="0.25">
      <c r="C180" s="131"/>
      <c r="D180" s="191"/>
      <c r="E180" s="191"/>
      <c r="F180" s="191"/>
      <c r="G180" s="191"/>
      <c r="H180" s="191"/>
      <c r="I180" s="191"/>
      <c r="Z180" s="46"/>
      <c r="AH180" s="77"/>
    </row>
    <row r="181" spans="3:34" ht="18" customHeight="1" x14ac:dyDescent="0.25">
      <c r="C181" s="131"/>
      <c r="D181" s="191"/>
      <c r="E181" s="191"/>
      <c r="F181" s="191"/>
      <c r="G181" s="191"/>
      <c r="H181" s="191"/>
      <c r="I181" s="191"/>
      <c r="Z181" s="46"/>
      <c r="AH181" s="77"/>
    </row>
    <row r="182" spans="3:34" ht="18" customHeight="1" x14ac:dyDescent="0.25">
      <c r="C182" s="131"/>
      <c r="D182" s="191"/>
      <c r="E182" s="191"/>
      <c r="F182" s="191"/>
      <c r="G182" s="191"/>
      <c r="H182" s="191"/>
      <c r="I182" s="191"/>
      <c r="Z182" s="46"/>
      <c r="AH182" s="77"/>
    </row>
    <row r="183" spans="3:34" ht="18" customHeight="1" x14ac:dyDescent="0.25">
      <c r="Z183" s="46"/>
      <c r="AH183" s="77"/>
    </row>
    <row r="184" spans="3:34" ht="18" customHeight="1" x14ac:dyDescent="0.25">
      <c r="C184" s="189" t="s">
        <v>622</v>
      </c>
      <c r="D184" s="89">
        <v>0.95</v>
      </c>
      <c r="Z184" s="46"/>
      <c r="AH184" s="77"/>
    </row>
    <row r="185" spans="3:34" ht="18" customHeight="1" x14ac:dyDescent="0.25">
      <c r="C185" s="189" t="s">
        <v>623</v>
      </c>
      <c r="D185" s="89">
        <v>0.260625</v>
      </c>
      <c r="Z185" s="46"/>
      <c r="AH185" s="77"/>
    </row>
    <row r="186" spans="3:34" ht="18" customHeight="1" x14ac:dyDescent="0.25">
      <c r="C186" s="189" t="s">
        <v>624</v>
      </c>
      <c r="D186" s="89">
        <v>0.93237531699070164</v>
      </c>
      <c r="E186" s="15" t="str">
        <f>IF(NOT(ISNUMBER(D184)),"",IF(D184&lt;0.5,"Poor agreement",IF(D184&gt;=0.85,"Good agreement","Fair agreement")))</f>
        <v>Good agreement</v>
      </c>
      <c r="Z186" s="46"/>
      <c r="AH186" s="77"/>
    </row>
    <row r="187" spans="3:34" ht="18" customHeight="1" x14ac:dyDescent="0.25">
      <c r="C187" s="189" t="s">
        <v>625</v>
      </c>
      <c r="D187" s="89">
        <v>4.6193744234576686E-2</v>
      </c>
      <c r="Z187" s="46"/>
      <c r="AH187" s="90"/>
    </row>
    <row r="188" spans="3:34" ht="18" customHeight="1" x14ac:dyDescent="0.25">
      <c r="C188" s="189" t="s">
        <v>377</v>
      </c>
      <c r="D188" s="89">
        <v>0.84183724197987642</v>
      </c>
      <c r="Z188" s="46"/>
      <c r="AH188" s="90"/>
    </row>
    <row r="189" spans="3:34" ht="18" customHeight="1" x14ac:dyDescent="0.25">
      <c r="C189" s="189" t="s">
        <v>378</v>
      </c>
      <c r="D189" s="89">
        <v>1.0229133920015263</v>
      </c>
      <c r="N189" s="14"/>
      <c r="O189" s="14"/>
      <c r="P189" s="14"/>
      <c r="Q189" s="14"/>
      <c r="R189" s="14"/>
      <c r="S189" s="14"/>
      <c r="T189" s="14"/>
      <c r="U189" s="14"/>
      <c r="Z189" s="46"/>
      <c r="AH189" s="90"/>
    </row>
    <row r="190" spans="3:34" ht="18" customHeight="1" x14ac:dyDescent="0.25">
      <c r="Z190" s="46"/>
    </row>
    <row r="191" spans="3:34" ht="18" customHeight="1" x14ac:dyDescent="0.25">
      <c r="Z191" s="46"/>
    </row>
    <row r="193" spans="1:19" s="8" customFormat="1" ht="18" customHeight="1" x14ac:dyDescent="0.25">
      <c r="B193" s="12" t="s">
        <v>383</v>
      </c>
    </row>
    <row r="195" spans="1:19" ht="18" customHeight="1" x14ac:dyDescent="0.25">
      <c r="B195" s="91" t="s">
        <v>384</v>
      </c>
    </row>
    <row r="197" spans="1:19" ht="18" customHeight="1" x14ac:dyDescent="0.25">
      <c r="B197" s="16" t="s">
        <v>385</v>
      </c>
    </row>
    <row r="198" spans="1:19" ht="18" customHeight="1" x14ac:dyDescent="0.25">
      <c r="B198" s="230"/>
      <c r="C198" s="230"/>
      <c r="D198" s="230"/>
      <c r="E198" s="230"/>
      <c r="F198" s="230"/>
      <c r="G198" s="230"/>
      <c r="H198" s="230"/>
    </row>
    <row r="199" spans="1:19" ht="18" customHeight="1" x14ac:dyDescent="0.25">
      <c r="B199" s="16" t="s">
        <v>386</v>
      </c>
    </row>
    <row r="200" spans="1:19" ht="18" customHeight="1" x14ac:dyDescent="0.25">
      <c r="B200" s="227"/>
      <c r="C200" s="229"/>
      <c r="D200" s="92"/>
      <c r="E200" s="92"/>
      <c r="F200" s="92"/>
      <c r="G200" s="92"/>
      <c r="H200" s="92"/>
    </row>
    <row r="201" spans="1:19" ht="18" customHeight="1" x14ac:dyDescent="0.25">
      <c r="B201" s="16" t="s">
        <v>387</v>
      </c>
    </row>
    <row r="202" spans="1:19" ht="18" customHeight="1" x14ac:dyDescent="0.25">
      <c r="A202" s="40"/>
      <c r="B202" s="236"/>
      <c r="C202" s="237"/>
      <c r="D202" s="237"/>
      <c r="E202" s="238"/>
    </row>
    <row r="203" spans="1:19" ht="18" customHeight="1" x14ac:dyDescent="0.25">
      <c r="A203" s="40"/>
      <c r="B203" s="16" t="s">
        <v>388</v>
      </c>
    </row>
    <row r="204" spans="1:19" ht="18" customHeight="1" x14ac:dyDescent="0.25">
      <c r="A204" s="40"/>
      <c r="B204" s="227"/>
      <c r="C204" s="228"/>
      <c r="D204" s="228"/>
      <c r="E204" s="229"/>
      <c r="F204" s="92"/>
      <c r="G204" s="92"/>
      <c r="H204" s="92"/>
    </row>
    <row r="205" spans="1:19" ht="18" customHeight="1" x14ac:dyDescent="0.25">
      <c r="A205" s="40"/>
      <c r="B205" s="16" t="s">
        <v>389</v>
      </c>
    </row>
    <row r="206" spans="1:19" ht="18" customHeight="1" x14ac:dyDescent="0.25">
      <c r="A206" s="40"/>
      <c r="B206" s="227"/>
      <c r="C206" s="228"/>
      <c r="D206" s="228"/>
      <c r="E206" s="229"/>
      <c r="F206" s="92"/>
      <c r="G206" s="92"/>
      <c r="H206" s="92"/>
    </row>
    <row r="207" spans="1:19" ht="18" customHeight="1" x14ac:dyDescent="0.25">
      <c r="A207" s="65"/>
      <c r="B207" s="93"/>
      <c r="C207" s="94"/>
      <c r="D207" s="94"/>
      <c r="E207" s="94"/>
    </row>
    <row r="208" spans="1:19" ht="18" customHeight="1" x14ac:dyDescent="0.25">
      <c r="A208" s="16"/>
      <c r="B208" s="95" t="s">
        <v>390</v>
      </c>
      <c r="C208" s="96"/>
      <c r="D208" s="96"/>
      <c r="E208" s="96"/>
      <c r="F208" s="96"/>
      <c r="G208" s="96"/>
      <c r="H208" s="96"/>
      <c r="I208" s="97"/>
      <c r="J208" s="97"/>
      <c r="K208" s="97"/>
      <c r="L208" s="97"/>
      <c r="M208" s="97"/>
      <c r="S208" s="16" t="s">
        <v>391</v>
      </c>
    </row>
    <row r="209" spans="1:26" ht="18" customHeight="1" x14ac:dyDescent="0.25">
      <c r="A209" s="16"/>
      <c r="B209" s="98"/>
      <c r="C209" s="98"/>
      <c r="D209" s="98"/>
      <c r="E209" s="98"/>
      <c r="F209" s="98"/>
      <c r="G209" s="98"/>
      <c r="H209" s="98"/>
      <c r="I209" s="24"/>
      <c r="J209" s="24"/>
      <c r="K209" s="24"/>
      <c r="S209" s="99" t="s">
        <v>392</v>
      </c>
      <c r="T209" s="100"/>
      <c r="U209" s="100"/>
      <c r="V209" s="101"/>
      <c r="W209" s="99" t="s">
        <v>393</v>
      </c>
      <c r="X209" s="101"/>
    </row>
    <row r="210" spans="1:26" ht="18" customHeight="1" x14ac:dyDescent="0.25">
      <c r="A210" s="16"/>
      <c r="B210" s="224" t="s">
        <v>357</v>
      </c>
      <c r="C210" s="225" t="s">
        <v>394</v>
      </c>
      <c r="D210" s="225" t="s">
        <v>395</v>
      </c>
      <c r="E210" s="225" t="s">
        <v>396</v>
      </c>
      <c r="F210" s="225" t="s">
        <v>397</v>
      </c>
      <c r="G210" s="224" t="s">
        <v>375</v>
      </c>
      <c r="H210" s="225" t="s">
        <v>398</v>
      </c>
      <c r="I210" s="24"/>
      <c r="J210" s="24"/>
      <c r="K210" s="24"/>
      <c r="S210" s="99"/>
      <c r="T210" s="100"/>
      <c r="U210" s="100"/>
      <c r="V210" s="101"/>
      <c r="W210" s="99"/>
      <c r="X210" s="101"/>
    </row>
    <row r="211" spans="1:26" ht="18" customHeight="1" x14ac:dyDescent="0.25">
      <c r="A211" s="16"/>
      <c r="B211" s="224"/>
      <c r="C211" s="225"/>
      <c r="D211" s="225"/>
      <c r="E211" s="225"/>
      <c r="F211" s="225"/>
      <c r="G211" s="224"/>
      <c r="H211" s="225"/>
      <c r="I211" s="24"/>
      <c r="J211" s="24"/>
      <c r="K211" s="24"/>
      <c r="S211" s="99"/>
      <c r="T211" s="100"/>
      <c r="U211" s="100"/>
      <c r="V211" s="101"/>
      <c r="W211" s="99"/>
      <c r="X211" s="101"/>
    </row>
    <row r="212" spans="1:26" ht="18" customHeight="1" x14ac:dyDescent="0.25">
      <c r="A212" s="20"/>
      <c r="B212" s="224"/>
      <c r="C212" s="225"/>
      <c r="D212" s="225"/>
      <c r="E212" s="225"/>
      <c r="F212" s="225"/>
      <c r="G212" s="224"/>
      <c r="H212" s="225"/>
      <c r="I212" s="103"/>
      <c r="S212" s="66" t="s">
        <v>399</v>
      </c>
      <c r="T212" s="66" t="s">
        <v>400</v>
      </c>
      <c r="U212" s="66" t="s">
        <v>401</v>
      </c>
      <c r="V212" s="66" t="s">
        <v>402</v>
      </c>
      <c r="W212" s="66" t="s">
        <v>403</v>
      </c>
      <c r="X212" s="66" t="s">
        <v>404</v>
      </c>
      <c r="Z212" s="64" t="s">
        <v>405</v>
      </c>
    </row>
    <row r="213" spans="1:26" ht="18" customHeight="1" x14ac:dyDescent="0.25">
      <c r="A213" s="46"/>
      <c r="B213" s="169"/>
      <c r="C213" s="170"/>
      <c r="D213" s="170"/>
      <c r="E213" s="170"/>
      <c r="F213" s="170"/>
      <c r="G213" s="105" t="str">
        <f>IF(OR(ISNUMBER(E213),ISNUMBER(F213)),AVERAGE(E213:F213),"")</f>
        <v/>
      </c>
      <c r="H213" s="106" t="str">
        <f t="shared" ref="H213:H220" si="12">IF(ISNUMBER($G213),IF(AND(ISNUMBER(W213),ISNUMBER(X213),G213&gt;W213,G213&lt;X213),"Pass","Fail"),"")</f>
        <v/>
      </c>
      <c r="I213" s="39"/>
      <c r="S213" s="107">
        <f t="shared" ref="S213:S220" si="13">IF(ISERROR(STDEV(E213:F213)),0,(STDEV(E213:F213)))</f>
        <v>0</v>
      </c>
      <c r="T213" s="107" t="str">
        <f t="shared" ref="T213:T220" si="14">IF(ISERROR(SQRT((S213^2)/$H$225)),"",(SQRT((S213^2)/$H$225)))</f>
        <v/>
      </c>
      <c r="U213" s="108" t="str">
        <f t="shared" ref="U213:U220" si="15">IF(ISNUMBER(D213),IF(ISNUMBER(G213),G213-D213,""),"")</f>
        <v/>
      </c>
      <c r="V213" s="108" t="str">
        <f t="shared" ref="V213:V220" si="16">IF(ISNUMBER(D213),IF(ISNUMBER(G213),100*((G213-D213)/D213),""),"")</f>
        <v/>
      </c>
      <c r="W213" s="107" t="str">
        <f t="shared" ref="W213:W220" si="17">IF(ISERROR(D213-(D213*2*$B$223/SQRT(Z213))),"",D213-(D213*2*$B$223/SQRT(Z213)))</f>
        <v/>
      </c>
      <c r="X213" s="107" t="str">
        <f t="shared" ref="X213:X220" si="18">IF(ISERROR(D213+(D213*2*$B$223/SQRT(Z213))),"",D213+(D213*2*$B$223/SQRT(Z213)))</f>
        <v/>
      </c>
      <c r="Z213" s="78">
        <f>COUNT(E213:F213)</f>
        <v>0</v>
      </c>
    </row>
    <row r="214" spans="1:26" ht="18" customHeight="1" x14ac:dyDescent="0.25">
      <c r="A214" s="46"/>
      <c r="B214" s="169"/>
      <c r="C214" s="170"/>
      <c r="D214" s="170"/>
      <c r="E214" s="170"/>
      <c r="F214" s="170"/>
      <c r="G214" s="105" t="str">
        <f t="shared" ref="G214:G220" si="19">IF(OR(ISNUMBER(E214),ISNUMBER(F214)),AVERAGE(E214:F214),"")</f>
        <v/>
      </c>
      <c r="H214" s="106" t="str">
        <f t="shared" si="12"/>
        <v/>
      </c>
      <c r="I214" s="39"/>
      <c r="S214" s="107">
        <f t="shared" si="13"/>
        <v>0</v>
      </c>
      <c r="T214" s="107" t="str">
        <f t="shared" si="14"/>
        <v/>
      </c>
      <c r="U214" s="108" t="str">
        <f t="shared" si="15"/>
        <v/>
      </c>
      <c r="V214" s="108" t="str">
        <f t="shared" si="16"/>
        <v/>
      </c>
      <c r="W214" s="107" t="str">
        <f t="shared" si="17"/>
        <v/>
      </c>
      <c r="X214" s="107" t="str">
        <f t="shared" si="18"/>
        <v/>
      </c>
      <c r="Z214" s="78">
        <f t="shared" ref="Z214:Z220" si="20">COUNT(E214:F214)</f>
        <v>0</v>
      </c>
    </row>
    <row r="215" spans="1:26" ht="18" customHeight="1" x14ac:dyDescent="0.25">
      <c r="A215" s="46"/>
      <c r="B215" s="169"/>
      <c r="C215" s="170"/>
      <c r="D215" s="170"/>
      <c r="E215" s="170"/>
      <c r="F215" s="170"/>
      <c r="G215" s="105" t="str">
        <f t="shared" si="19"/>
        <v/>
      </c>
      <c r="H215" s="106" t="str">
        <f t="shared" si="12"/>
        <v/>
      </c>
      <c r="I215" s="39"/>
      <c r="S215" s="107">
        <f t="shared" si="13"/>
        <v>0</v>
      </c>
      <c r="T215" s="107" t="str">
        <f t="shared" si="14"/>
        <v/>
      </c>
      <c r="U215" s="108" t="str">
        <f t="shared" si="15"/>
        <v/>
      </c>
      <c r="V215" s="108" t="str">
        <f t="shared" si="16"/>
        <v/>
      </c>
      <c r="W215" s="107" t="str">
        <f t="shared" si="17"/>
        <v/>
      </c>
      <c r="X215" s="107" t="str">
        <f t="shared" si="18"/>
        <v/>
      </c>
      <c r="Z215" s="78">
        <f t="shared" si="20"/>
        <v>0</v>
      </c>
    </row>
    <row r="216" spans="1:26" ht="18" customHeight="1" x14ac:dyDescent="0.25">
      <c r="A216" s="46"/>
      <c r="B216" s="169"/>
      <c r="C216" s="170"/>
      <c r="D216" s="170"/>
      <c r="E216" s="170"/>
      <c r="F216" s="170"/>
      <c r="G216" s="105" t="str">
        <f t="shared" si="19"/>
        <v/>
      </c>
      <c r="H216" s="106" t="str">
        <f t="shared" si="12"/>
        <v/>
      </c>
      <c r="I216" s="39"/>
      <c r="S216" s="107">
        <f t="shared" si="13"/>
        <v>0</v>
      </c>
      <c r="T216" s="107" t="str">
        <f t="shared" si="14"/>
        <v/>
      </c>
      <c r="U216" s="108" t="str">
        <f t="shared" si="15"/>
        <v/>
      </c>
      <c r="V216" s="108" t="str">
        <f t="shared" si="16"/>
        <v/>
      </c>
      <c r="W216" s="107" t="str">
        <f t="shared" si="17"/>
        <v/>
      </c>
      <c r="X216" s="107" t="str">
        <f t="shared" si="18"/>
        <v/>
      </c>
      <c r="Z216" s="78">
        <f t="shared" si="20"/>
        <v>0</v>
      </c>
    </row>
    <row r="217" spans="1:26" ht="18" customHeight="1" x14ac:dyDescent="0.25">
      <c r="A217" s="46"/>
      <c r="B217" s="169"/>
      <c r="C217" s="170"/>
      <c r="D217" s="170"/>
      <c r="E217" s="170"/>
      <c r="F217" s="170"/>
      <c r="G217" s="105" t="str">
        <f t="shared" si="19"/>
        <v/>
      </c>
      <c r="H217" s="106" t="str">
        <f t="shared" si="12"/>
        <v/>
      </c>
      <c r="I217" s="39"/>
      <c r="M217" s="39"/>
      <c r="S217" s="107">
        <f t="shared" si="13"/>
        <v>0</v>
      </c>
      <c r="T217" s="107" t="str">
        <f t="shared" si="14"/>
        <v/>
      </c>
      <c r="U217" s="108" t="str">
        <f t="shared" si="15"/>
        <v/>
      </c>
      <c r="V217" s="108" t="str">
        <f t="shared" si="16"/>
        <v/>
      </c>
      <c r="W217" s="107" t="str">
        <f t="shared" si="17"/>
        <v/>
      </c>
      <c r="X217" s="107" t="str">
        <f t="shared" si="18"/>
        <v/>
      </c>
      <c r="Z217" s="78">
        <f t="shared" si="20"/>
        <v>0</v>
      </c>
    </row>
    <row r="218" spans="1:26" ht="18" customHeight="1" x14ac:dyDescent="0.25">
      <c r="A218" s="46"/>
      <c r="B218" s="169"/>
      <c r="C218" s="170"/>
      <c r="D218" s="170"/>
      <c r="E218" s="170"/>
      <c r="F218" s="170"/>
      <c r="G218" s="105" t="str">
        <f t="shared" si="19"/>
        <v/>
      </c>
      <c r="H218" s="106" t="str">
        <f t="shared" si="12"/>
        <v/>
      </c>
      <c r="I218" s="39"/>
      <c r="M218" s="39"/>
      <c r="S218" s="107">
        <f t="shared" si="13"/>
        <v>0</v>
      </c>
      <c r="T218" s="107" t="str">
        <f t="shared" si="14"/>
        <v/>
      </c>
      <c r="U218" s="108" t="str">
        <f t="shared" si="15"/>
        <v/>
      </c>
      <c r="V218" s="108" t="str">
        <f t="shared" si="16"/>
        <v/>
      </c>
      <c r="W218" s="107" t="str">
        <f t="shared" si="17"/>
        <v/>
      </c>
      <c r="X218" s="107" t="str">
        <f t="shared" si="18"/>
        <v/>
      </c>
      <c r="Z218" s="78">
        <f t="shared" si="20"/>
        <v>0</v>
      </c>
    </row>
    <row r="219" spans="1:26" ht="18" customHeight="1" x14ac:dyDescent="0.25">
      <c r="A219" s="46"/>
      <c r="B219" s="169"/>
      <c r="C219" s="170"/>
      <c r="D219" s="170"/>
      <c r="E219" s="170"/>
      <c r="F219" s="170"/>
      <c r="G219" s="105" t="str">
        <f t="shared" si="19"/>
        <v/>
      </c>
      <c r="H219" s="106" t="str">
        <f t="shared" si="12"/>
        <v/>
      </c>
      <c r="I219" s="39"/>
      <c r="M219" s="39"/>
      <c r="S219" s="107">
        <f t="shared" si="13"/>
        <v>0</v>
      </c>
      <c r="T219" s="107" t="str">
        <f t="shared" si="14"/>
        <v/>
      </c>
      <c r="U219" s="108" t="str">
        <f t="shared" si="15"/>
        <v/>
      </c>
      <c r="V219" s="108" t="str">
        <f t="shared" si="16"/>
        <v/>
      </c>
      <c r="W219" s="107" t="str">
        <f t="shared" si="17"/>
        <v/>
      </c>
      <c r="X219" s="107" t="str">
        <f t="shared" si="18"/>
        <v/>
      </c>
      <c r="Z219" s="78">
        <f t="shared" si="20"/>
        <v>0</v>
      </c>
    </row>
    <row r="220" spans="1:26" ht="18" customHeight="1" x14ac:dyDescent="0.25">
      <c r="A220" s="46"/>
      <c r="B220" s="169"/>
      <c r="C220" s="170"/>
      <c r="D220" s="170"/>
      <c r="E220" s="170"/>
      <c r="F220" s="170"/>
      <c r="G220" s="105" t="str">
        <f t="shared" si="19"/>
        <v/>
      </c>
      <c r="H220" s="106" t="str">
        <f t="shared" si="12"/>
        <v/>
      </c>
      <c r="I220" s="39"/>
      <c r="M220" s="39"/>
      <c r="S220" s="107">
        <f t="shared" si="13"/>
        <v>0</v>
      </c>
      <c r="T220" s="107" t="str">
        <f t="shared" si="14"/>
        <v/>
      </c>
      <c r="U220" s="108" t="str">
        <f t="shared" si="15"/>
        <v/>
      </c>
      <c r="V220" s="108" t="str">
        <f t="shared" si="16"/>
        <v/>
      </c>
      <c r="W220" s="107" t="str">
        <f t="shared" si="17"/>
        <v/>
      </c>
      <c r="X220" s="107" t="str">
        <f t="shared" si="18"/>
        <v/>
      </c>
      <c r="Z220" s="78">
        <f t="shared" si="20"/>
        <v>0</v>
      </c>
    </row>
    <row r="221" spans="1:26" ht="18" customHeight="1" x14ac:dyDescent="0.25">
      <c r="A221" s="46"/>
      <c r="B221" s="109"/>
      <c r="C221" s="109"/>
      <c r="D221" s="109"/>
      <c r="E221" s="109"/>
      <c r="F221" s="109"/>
      <c r="G221" s="28"/>
      <c r="H221" s="39"/>
      <c r="I221" s="39"/>
      <c r="M221" s="39"/>
    </row>
    <row r="222" spans="1:26" ht="18" customHeight="1" x14ac:dyDescent="0.25">
      <c r="B222" s="16" t="s">
        <v>414</v>
      </c>
      <c r="C222" s="110"/>
      <c r="D222" s="109"/>
      <c r="E222" s="109"/>
      <c r="F222" s="109"/>
      <c r="G222" s="28"/>
      <c r="H222" s="39"/>
      <c r="I222" s="39"/>
      <c r="M222" s="39"/>
      <c r="T222" s="20"/>
    </row>
    <row r="223" spans="1:26" ht="18" customHeight="1" x14ac:dyDescent="0.25">
      <c r="A223" s="40"/>
      <c r="B223" s="171"/>
      <c r="C223" s="110"/>
      <c r="T223" s="20"/>
    </row>
    <row r="224" spans="1:26" ht="18" customHeight="1" x14ac:dyDescent="0.25">
      <c r="A224" s="40"/>
      <c r="B224" s="16" t="s">
        <v>415</v>
      </c>
      <c r="G224" s="20" t="s">
        <v>416</v>
      </c>
      <c r="H224" s="108" t="str">
        <f>IF(ISNUMBER(B223),IF(ISNUMBER(B225),B223/(B225^0.5),""),"")</f>
        <v/>
      </c>
      <c r="T224" s="20"/>
    </row>
    <row r="225" spans="2:27" ht="18" customHeight="1" x14ac:dyDescent="0.25">
      <c r="B225" s="170"/>
      <c r="G225" s="20" t="s">
        <v>417</v>
      </c>
      <c r="H225" s="111">
        <f>COUNT(E213:E220)</f>
        <v>0</v>
      </c>
      <c r="T225" s="20"/>
    </row>
    <row r="226" spans="2:27" ht="18" customHeight="1" x14ac:dyDescent="0.25">
      <c r="G226" s="20" t="s">
        <v>418</v>
      </c>
      <c r="H226" s="112">
        <f>IF(F213="",1,2)</f>
        <v>1</v>
      </c>
    </row>
    <row r="228" spans="2:27" ht="18" customHeight="1" x14ac:dyDescent="0.25">
      <c r="B228" s="91" t="s">
        <v>419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30" spans="2:27" ht="18" customHeight="1" x14ac:dyDescent="0.25">
      <c r="B230" s="15" t="s">
        <v>420</v>
      </c>
    </row>
    <row r="231" spans="2:27" ht="18" customHeight="1" x14ac:dyDescent="0.25">
      <c r="B231" s="15" t="s">
        <v>421</v>
      </c>
    </row>
    <row r="232" spans="2:27" ht="18" customHeight="1" x14ac:dyDescent="0.25">
      <c r="B232" s="15" t="s">
        <v>422</v>
      </c>
    </row>
    <row r="233" spans="2:27" ht="18" customHeight="1" x14ac:dyDescent="0.25">
      <c r="B233" s="15" t="s">
        <v>423</v>
      </c>
    </row>
    <row r="234" spans="2:27" ht="18" customHeight="1" x14ac:dyDescent="0.25">
      <c r="B234" s="15" t="s">
        <v>424</v>
      </c>
    </row>
    <row r="235" spans="2:27" ht="18" customHeight="1" x14ac:dyDescent="0.25">
      <c r="B235" s="15" t="s">
        <v>425</v>
      </c>
    </row>
    <row r="237" spans="2:27" ht="18" customHeight="1" x14ac:dyDescent="0.25">
      <c r="B237" s="16" t="s">
        <v>426</v>
      </c>
    </row>
    <row r="238" spans="2:27" ht="18" customHeight="1" x14ac:dyDescent="0.25">
      <c r="B238" s="230"/>
      <c r="C238" s="230"/>
      <c r="D238" s="230"/>
      <c r="E238" s="230"/>
      <c r="F238" s="230"/>
      <c r="G238" s="230"/>
      <c r="H238" s="230"/>
    </row>
    <row r="239" spans="2:27" ht="18" customHeight="1" x14ac:dyDescent="0.25">
      <c r="B239" s="16" t="s">
        <v>386</v>
      </c>
    </row>
    <row r="240" spans="2:27" ht="18" customHeight="1" x14ac:dyDescent="0.25">
      <c r="B240" s="227"/>
      <c r="C240" s="229"/>
      <c r="D240" s="92"/>
      <c r="E240" s="92"/>
      <c r="F240" s="92"/>
      <c r="G240" s="92"/>
      <c r="H240" s="92"/>
    </row>
    <row r="241" spans="1:25" ht="18" customHeight="1" x14ac:dyDescent="0.25">
      <c r="B241" s="16" t="s">
        <v>387</v>
      </c>
    </row>
    <row r="242" spans="1:25" ht="18" customHeight="1" x14ac:dyDescent="0.25">
      <c r="B242" s="231"/>
      <c r="C242" s="232"/>
      <c r="D242" s="232"/>
      <c r="E242" s="233"/>
    </row>
    <row r="243" spans="1:25" ht="18" customHeight="1" x14ac:dyDescent="0.25">
      <c r="B243" s="16" t="s">
        <v>388</v>
      </c>
    </row>
    <row r="244" spans="1:25" ht="18" customHeight="1" x14ac:dyDescent="0.25">
      <c r="A244" s="40"/>
      <c r="B244" s="227"/>
      <c r="C244" s="228"/>
      <c r="D244" s="228"/>
      <c r="E244" s="229"/>
      <c r="F244" s="92"/>
      <c r="G244" s="92"/>
      <c r="H244" s="92"/>
      <c r="P244" s="24"/>
      <c r="Q244" s="24"/>
      <c r="R244" s="24"/>
      <c r="S244" s="24"/>
      <c r="T244" s="24"/>
    </row>
    <row r="245" spans="1:25" ht="18" customHeight="1" x14ac:dyDescent="0.25">
      <c r="A245" s="40"/>
      <c r="B245" s="16" t="s">
        <v>389</v>
      </c>
      <c r="P245" s="24"/>
      <c r="Q245" s="24"/>
      <c r="R245" s="24"/>
      <c r="S245" s="24"/>
      <c r="T245" s="24"/>
    </row>
    <row r="246" spans="1:25" ht="18" customHeight="1" x14ac:dyDescent="0.25">
      <c r="A246" s="40"/>
      <c r="B246" s="227"/>
      <c r="C246" s="228"/>
      <c r="D246" s="228"/>
      <c r="E246" s="229"/>
      <c r="F246" s="92"/>
      <c r="G246" s="92"/>
      <c r="H246" s="92"/>
      <c r="P246" s="24"/>
      <c r="Q246" s="24"/>
      <c r="R246" s="24"/>
      <c r="S246" s="24"/>
      <c r="T246" s="24"/>
    </row>
    <row r="247" spans="1:25" ht="18" customHeight="1" x14ac:dyDescent="0.25">
      <c r="A247" s="40"/>
      <c r="B247" s="92"/>
      <c r="C247" s="92"/>
      <c r="D247" s="92"/>
      <c r="E247" s="92"/>
      <c r="F247" s="92"/>
      <c r="G247" s="92"/>
      <c r="H247" s="92"/>
      <c r="P247" s="24"/>
      <c r="Q247" s="24"/>
      <c r="R247" s="24"/>
      <c r="S247" s="24"/>
      <c r="T247" s="24"/>
    </row>
    <row r="248" spans="1:25" ht="18" customHeight="1" x14ac:dyDescent="0.25">
      <c r="A248" s="16"/>
      <c r="B248" s="113" t="s">
        <v>427</v>
      </c>
      <c r="C248" s="113"/>
      <c r="D248" s="113"/>
      <c r="E248" s="113"/>
      <c r="F248" s="113"/>
      <c r="G248" s="113"/>
      <c r="H248" s="113"/>
      <c r="P248" s="24"/>
      <c r="Q248" s="24"/>
      <c r="R248" s="24"/>
      <c r="S248" s="24"/>
      <c r="T248" s="24"/>
    </row>
    <row r="249" spans="1:25" ht="18" customHeight="1" x14ac:dyDescent="0.25">
      <c r="B249" s="110"/>
      <c r="C249" s="110"/>
      <c r="D249" s="110"/>
      <c r="E249" s="110"/>
      <c r="F249" s="110" t="s">
        <v>336</v>
      </c>
      <c r="G249" s="110"/>
      <c r="H249" s="110"/>
      <c r="I249" s="110"/>
      <c r="J249" s="110"/>
      <c r="M249" s="110"/>
      <c r="N249" s="110"/>
      <c r="P249" s="24"/>
      <c r="Q249" s="24"/>
      <c r="R249" s="24"/>
      <c r="S249" s="24"/>
      <c r="T249" s="24"/>
    </row>
    <row r="250" spans="1:25" ht="18" customHeight="1" x14ac:dyDescent="0.25">
      <c r="B250" s="224" t="s">
        <v>428</v>
      </c>
      <c r="C250" s="225" t="s">
        <v>429</v>
      </c>
      <c r="D250" s="225" t="s">
        <v>396</v>
      </c>
      <c r="E250" s="225" t="s">
        <v>397</v>
      </c>
      <c r="F250" s="225" t="s">
        <v>430</v>
      </c>
      <c r="G250" s="224" t="s">
        <v>375</v>
      </c>
      <c r="H250" s="225" t="s">
        <v>431</v>
      </c>
      <c r="I250" s="225" t="s">
        <v>432</v>
      </c>
      <c r="J250" s="110"/>
      <c r="M250" s="110"/>
      <c r="N250" s="110"/>
      <c r="P250" s="24"/>
      <c r="Q250" s="24"/>
      <c r="R250" s="24"/>
      <c r="S250" s="24"/>
      <c r="T250" s="24"/>
    </row>
    <row r="251" spans="1:25" ht="18" customHeight="1" x14ac:dyDescent="0.25">
      <c r="A251" s="20"/>
      <c r="B251" s="224"/>
      <c r="C251" s="225"/>
      <c r="D251" s="225"/>
      <c r="E251" s="225"/>
      <c r="F251" s="225"/>
      <c r="G251" s="224"/>
      <c r="H251" s="225"/>
      <c r="I251" s="225"/>
      <c r="S251" s="102" t="s">
        <v>433</v>
      </c>
      <c r="T251" s="102" t="s">
        <v>434</v>
      </c>
      <c r="U251" s="102" t="s">
        <v>435</v>
      </c>
      <c r="V251" s="102" t="s">
        <v>436</v>
      </c>
      <c r="W251" s="102" t="s">
        <v>437</v>
      </c>
      <c r="X251" s="102" t="s">
        <v>404</v>
      </c>
      <c r="Y251" s="102" t="s">
        <v>403</v>
      </c>
    </row>
    <row r="252" spans="1:25" ht="18" customHeight="1" x14ac:dyDescent="0.25">
      <c r="A252" s="46" t="str">
        <f>IF(ISNUMBER(G252),1,"")</f>
        <v/>
      </c>
      <c r="B252" s="170"/>
      <c r="C252" s="170"/>
      <c r="D252" s="170"/>
      <c r="E252" s="170"/>
      <c r="F252" s="170"/>
      <c r="G252" s="105" t="str">
        <f>IF(ISNUMBER(D252),AVERAGE(D252:F252),"")</f>
        <v/>
      </c>
      <c r="H252" s="106"/>
      <c r="I252" s="106" t="str">
        <f t="shared" ref="I252:I259" si="21">IF(NOT(ISNUMBER(G252)),"",IF(AND(ISNUMBER(G252),U252&gt;W252),"Fail","Pass"))</f>
        <v/>
      </c>
      <c r="S252" s="107">
        <f t="shared" ref="S252:S259" si="22">IF(ISERROR(STDEV(D252:F252)/SQRT(COUNT(D252:F252))),0,(STDEV(D252:F252)/SQRT(COUNT(D252:F252))))</f>
        <v>0</v>
      </c>
      <c r="T252" s="108" t="str">
        <f t="shared" ref="T252:T259" si="23">IF(ISNUMBER(C252),IF(ISNUMBER(G252),ABS(G252-C252),""),"")</f>
        <v/>
      </c>
      <c r="U252" s="107" t="e">
        <f t="shared" ref="U252:U259" si="24">$T252-_xlfn.T.INV(1-$B$261/2,COUNT($D252:$F252)-1)*$S252</f>
        <v>#VALUE!</v>
      </c>
      <c r="V252" s="107" t="e">
        <f t="shared" ref="V252:V259" si="25">$T252+_xlfn.T.INV(1-$B$261/2,COUNT($D252:$F252)-1)*$S252</f>
        <v>#VALUE!</v>
      </c>
      <c r="W252" s="108">
        <f t="shared" ref="W252:W259" si="26">ABS($B$261*C252)</f>
        <v>0</v>
      </c>
      <c r="X252" s="107">
        <f t="shared" ref="X252:X259" si="27">IF(ISERROR($C252-($C252*$B$261)),"",$C252-($C252*$B$261))</f>
        <v>0</v>
      </c>
      <c r="Y252" s="107">
        <f t="shared" ref="Y252:Y259" si="28">IF(ISERROR($C252+($C252*$B$261)),"",$C252+($C252*$B$261))</f>
        <v>0</v>
      </c>
    </row>
    <row r="253" spans="1:25" ht="18" customHeight="1" x14ac:dyDescent="0.25">
      <c r="A253" s="46" t="str">
        <f t="shared" ref="A253:A259" si="29">IF(ISNUMBER(G253),1+A252,"")</f>
        <v/>
      </c>
      <c r="B253" s="170"/>
      <c r="C253" s="170"/>
      <c r="D253" s="170"/>
      <c r="E253" s="170"/>
      <c r="F253" s="170"/>
      <c r="G253" s="105" t="str">
        <f t="shared" ref="G253:G259" si="30">IF(ISNUMBER(D253),AVERAGE(D253:F253),"")</f>
        <v/>
      </c>
      <c r="H253" s="106" t="str">
        <f t="shared" ref="H253:H259" si="31">IF(NOT(ISNUMBER(G253)),"",IF(AND(ISNUMBER(G253),G253&gt;=X253,G253&lt;=Y253),"Pass","Fail"))</f>
        <v/>
      </c>
      <c r="I253" s="106" t="str">
        <f t="shared" si="21"/>
        <v/>
      </c>
      <c r="S253" s="107">
        <f t="shared" si="22"/>
        <v>0</v>
      </c>
      <c r="T253" s="108" t="str">
        <f t="shared" si="23"/>
        <v/>
      </c>
      <c r="U253" s="107" t="e">
        <f t="shared" si="24"/>
        <v>#VALUE!</v>
      </c>
      <c r="V253" s="107" t="e">
        <f t="shared" si="25"/>
        <v>#VALUE!</v>
      </c>
      <c r="W253" s="108">
        <f t="shared" si="26"/>
        <v>0</v>
      </c>
      <c r="X253" s="107">
        <f t="shared" si="27"/>
        <v>0</v>
      </c>
      <c r="Y253" s="107">
        <f t="shared" si="28"/>
        <v>0</v>
      </c>
    </row>
    <row r="254" spans="1:25" ht="18" customHeight="1" x14ac:dyDescent="0.25">
      <c r="A254" s="46" t="str">
        <f t="shared" si="29"/>
        <v/>
      </c>
      <c r="B254" s="170"/>
      <c r="C254" s="170"/>
      <c r="D254" s="170"/>
      <c r="E254" s="170"/>
      <c r="F254" s="170"/>
      <c r="G254" s="105" t="str">
        <f t="shared" si="30"/>
        <v/>
      </c>
      <c r="H254" s="106" t="str">
        <f t="shared" si="31"/>
        <v/>
      </c>
      <c r="I254" s="106" t="str">
        <f t="shared" si="21"/>
        <v/>
      </c>
      <c r="S254" s="107">
        <f t="shared" si="22"/>
        <v>0</v>
      </c>
      <c r="T254" s="108" t="str">
        <f t="shared" si="23"/>
        <v/>
      </c>
      <c r="U254" s="107" t="e">
        <f t="shared" si="24"/>
        <v>#VALUE!</v>
      </c>
      <c r="V254" s="107" t="e">
        <f t="shared" si="25"/>
        <v>#VALUE!</v>
      </c>
      <c r="W254" s="108">
        <f t="shared" si="26"/>
        <v>0</v>
      </c>
      <c r="X254" s="107">
        <f t="shared" si="27"/>
        <v>0</v>
      </c>
      <c r="Y254" s="107">
        <f t="shared" si="28"/>
        <v>0</v>
      </c>
    </row>
    <row r="255" spans="1:25" ht="18" customHeight="1" x14ac:dyDescent="0.25">
      <c r="A255" s="46" t="str">
        <f t="shared" si="29"/>
        <v/>
      </c>
      <c r="B255" s="170"/>
      <c r="C255" s="170"/>
      <c r="D255" s="170"/>
      <c r="E255" s="170"/>
      <c r="F255" s="170"/>
      <c r="G255" s="105" t="str">
        <f t="shared" si="30"/>
        <v/>
      </c>
      <c r="H255" s="106" t="str">
        <f t="shared" si="31"/>
        <v/>
      </c>
      <c r="I255" s="106" t="str">
        <f t="shared" si="21"/>
        <v/>
      </c>
      <c r="S255" s="107">
        <f t="shared" si="22"/>
        <v>0</v>
      </c>
      <c r="T255" s="108" t="str">
        <f t="shared" si="23"/>
        <v/>
      </c>
      <c r="U255" s="107" t="e">
        <f t="shared" si="24"/>
        <v>#VALUE!</v>
      </c>
      <c r="V255" s="107" t="e">
        <f t="shared" si="25"/>
        <v>#VALUE!</v>
      </c>
      <c r="W255" s="108">
        <f t="shared" si="26"/>
        <v>0</v>
      </c>
      <c r="X255" s="107">
        <f t="shared" si="27"/>
        <v>0</v>
      </c>
      <c r="Y255" s="107">
        <f t="shared" si="28"/>
        <v>0</v>
      </c>
    </row>
    <row r="256" spans="1:25" ht="18" customHeight="1" x14ac:dyDescent="0.25">
      <c r="A256" s="46" t="str">
        <f t="shared" si="29"/>
        <v/>
      </c>
      <c r="B256" s="170"/>
      <c r="C256" s="170"/>
      <c r="D256" s="170"/>
      <c r="E256" s="170"/>
      <c r="F256" s="170"/>
      <c r="G256" s="105" t="str">
        <f t="shared" si="30"/>
        <v/>
      </c>
      <c r="H256" s="106" t="str">
        <f t="shared" si="31"/>
        <v/>
      </c>
      <c r="I256" s="106" t="str">
        <f t="shared" si="21"/>
        <v/>
      </c>
      <c r="S256" s="107">
        <f t="shared" si="22"/>
        <v>0</v>
      </c>
      <c r="T256" s="108" t="str">
        <f t="shared" si="23"/>
        <v/>
      </c>
      <c r="U256" s="107" t="e">
        <f t="shared" si="24"/>
        <v>#VALUE!</v>
      </c>
      <c r="V256" s="107" t="e">
        <f t="shared" si="25"/>
        <v>#VALUE!</v>
      </c>
      <c r="W256" s="108">
        <f t="shared" si="26"/>
        <v>0</v>
      </c>
      <c r="X256" s="107">
        <f t="shared" si="27"/>
        <v>0</v>
      </c>
      <c r="Y256" s="107">
        <f t="shared" si="28"/>
        <v>0</v>
      </c>
    </row>
    <row r="257" spans="1:25" ht="18" customHeight="1" x14ac:dyDescent="0.25">
      <c r="A257" s="46" t="str">
        <f t="shared" si="29"/>
        <v/>
      </c>
      <c r="B257" s="170"/>
      <c r="C257" s="170"/>
      <c r="D257" s="170"/>
      <c r="E257" s="170"/>
      <c r="F257" s="170"/>
      <c r="G257" s="105" t="str">
        <f t="shared" si="30"/>
        <v/>
      </c>
      <c r="H257" s="106" t="str">
        <f t="shared" si="31"/>
        <v/>
      </c>
      <c r="I257" s="106" t="str">
        <f t="shared" si="21"/>
        <v/>
      </c>
      <c r="S257" s="107">
        <f t="shared" si="22"/>
        <v>0</v>
      </c>
      <c r="T257" s="108" t="str">
        <f t="shared" si="23"/>
        <v/>
      </c>
      <c r="U257" s="107" t="e">
        <f t="shared" si="24"/>
        <v>#VALUE!</v>
      </c>
      <c r="V257" s="107" t="e">
        <f t="shared" si="25"/>
        <v>#VALUE!</v>
      </c>
      <c r="W257" s="108">
        <f t="shared" si="26"/>
        <v>0</v>
      </c>
      <c r="X257" s="107">
        <f t="shared" si="27"/>
        <v>0</v>
      </c>
      <c r="Y257" s="107">
        <f t="shared" si="28"/>
        <v>0</v>
      </c>
    </row>
    <row r="258" spans="1:25" ht="18" customHeight="1" x14ac:dyDescent="0.25">
      <c r="A258" s="46" t="str">
        <f t="shared" si="29"/>
        <v/>
      </c>
      <c r="B258" s="170"/>
      <c r="C258" s="170"/>
      <c r="D258" s="170"/>
      <c r="E258" s="170"/>
      <c r="F258" s="170"/>
      <c r="G258" s="105" t="str">
        <f t="shared" si="30"/>
        <v/>
      </c>
      <c r="H258" s="106" t="str">
        <f t="shared" si="31"/>
        <v/>
      </c>
      <c r="I258" s="106" t="str">
        <f t="shared" si="21"/>
        <v/>
      </c>
      <c r="S258" s="107">
        <f t="shared" si="22"/>
        <v>0</v>
      </c>
      <c r="T258" s="108" t="str">
        <f t="shared" si="23"/>
        <v/>
      </c>
      <c r="U258" s="107" t="e">
        <f t="shared" si="24"/>
        <v>#VALUE!</v>
      </c>
      <c r="V258" s="107" t="e">
        <f t="shared" si="25"/>
        <v>#VALUE!</v>
      </c>
      <c r="W258" s="108">
        <f t="shared" si="26"/>
        <v>0</v>
      </c>
      <c r="X258" s="107">
        <f t="shared" si="27"/>
        <v>0</v>
      </c>
      <c r="Y258" s="107">
        <f t="shared" si="28"/>
        <v>0</v>
      </c>
    </row>
    <row r="259" spans="1:25" ht="18" customHeight="1" x14ac:dyDescent="0.25">
      <c r="A259" s="46" t="str">
        <f t="shared" si="29"/>
        <v/>
      </c>
      <c r="B259" s="170"/>
      <c r="C259" s="170"/>
      <c r="D259" s="170"/>
      <c r="E259" s="170"/>
      <c r="F259" s="170"/>
      <c r="G259" s="105" t="str">
        <f t="shared" si="30"/>
        <v/>
      </c>
      <c r="H259" s="106" t="str">
        <f t="shared" si="31"/>
        <v/>
      </c>
      <c r="I259" s="106" t="str">
        <f t="shared" si="21"/>
        <v/>
      </c>
      <c r="S259" s="107">
        <f t="shared" si="22"/>
        <v>0</v>
      </c>
      <c r="T259" s="108" t="str">
        <f t="shared" si="23"/>
        <v/>
      </c>
      <c r="U259" s="107" t="e">
        <f t="shared" si="24"/>
        <v>#VALUE!</v>
      </c>
      <c r="V259" s="107" t="e">
        <f t="shared" si="25"/>
        <v>#VALUE!</v>
      </c>
      <c r="W259" s="108">
        <f t="shared" si="26"/>
        <v>0</v>
      </c>
      <c r="X259" s="107">
        <f t="shared" si="27"/>
        <v>0</v>
      </c>
      <c r="Y259" s="107">
        <f t="shared" si="28"/>
        <v>0</v>
      </c>
    </row>
    <row r="260" spans="1:25" ht="18" customHeight="1" x14ac:dyDescent="0.25">
      <c r="A260" s="46"/>
      <c r="B260" s="17" t="s">
        <v>438</v>
      </c>
      <c r="C260" s="25"/>
      <c r="D260" s="83" t="s">
        <v>439</v>
      </c>
      <c r="E260" s="25"/>
      <c r="F260" s="25"/>
      <c r="G260" s="114"/>
      <c r="H260" s="114"/>
      <c r="I260" s="114"/>
      <c r="J260" s="39"/>
      <c r="M260" s="39"/>
      <c r="N260" s="39"/>
      <c r="S260" s="24"/>
      <c r="T260" s="24"/>
      <c r="U260" s="24"/>
      <c r="V260" s="24"/>
      <c r="W260" s="24"/>
      <c r="X260" s="24"/>
    </row>
    <row r="261" spans="1:25" ht="18" customHeight="1" x14ac:dyDescent="0.25">
      <c r="A261" s="20"/>
      <c r="B261" s="172"/>
      <c r="C261" s="17"/>
      <c r="D261" s="115">
        <v>0.05</v>
      </c>
      <c r="E261" s="25"/>
      <c r="F261" s="25"/>
      <c r="G261" s="25"/>
      <c r="H261" s="25"/>
      <c r="I261" s="25"/>
      <c r="J261" s="25"/>
      <c r="M261" s="38"/>
      <c r="N261" s="39"/>
      <c r="S261" s="24"/>
      <c r="T261" s="24"/>
      <c r="U261" s="24"/>
      <c r="V261" s="24"/>
      <c r="W261" s="24"/>
      <c r="X261" s="24"/>
    </row>
    <row r="262" spans="1:25" ht="18" customHeight="1" x14ac:dyDescent="0.25">
      <c r="A262" s="20"/>
      <c r="C262" s="110"/>
      <c r="D262" s="110"/>
      <c r="E262" s="110"/>
      <c r="F262" s="110"/>
      <c r="G262" s="110"/>
      <c r="H262" s="110"/>
      <c r="I262" s="110"/>
      <c r="J262" s="110"/>
      <c r="M262" s="110"/>
      <c r="N262" s="110"/>
      <c r="S262" s="24"/>
      <c r="T262" s="24"/>
      <c r="U262" s="24"/>
      <c r="V262" s="24"/>
      <c r="W262" s="24"/>
      <c r="X262" s="24"/>
    </row>
    <row r="281" spans="1:6" s="10" customFormat="1" ht="18" customHeight="1" x14ac:dyDescent="0.25">
      <c r="A281" s="8"/>
      <c r="B281" s="8" t="s">
        <v>440</v>
      </c>
    </row>
    <row r="282" spans="1:6" s="49" customFormat="1" ht="18" customHeight="1" x14ac:dyDescent="0.25">
      <c r="A282" s="48"/>
      <c r="B282" s="48"/>
    </row>
    <row r="283" spans="1:6" ht="18" customHeight="1" x14ac:dyDescent="0.25">
      <c r="B283" s="16" t="s">
        <v>441</v>
      </c>
    </row>
    <row r="284" spans="1:6" ht="18" customHeight="1" x14ac:dyDescent="0.25">
      <c r="B284" s="212"/>
      <c r="C284" s="212"/>
      <c r="D284" s="212"/>
      <c r="E284" s="93"/>
      <c r="F284" s="93"/>
    </row>
    <row r="285" spans="1:6" ht="18" customHeight="1" x14ac:dyDescent="0.25">
      <c r="B285" s="16" t="s">
        <v>442</v>
      </c>
      <c r="C285" s="65"/>
      <c r="D285" s="226"/>
      <c r="E285" s="226"/>
      <c r="F285" s="226"/>
    </row>
    <row r="286" spans="1:6" ht="18" customHeight="1" x14ac:dyDescent="0.25">
      <c r="B286" s="212"/>
      <c r="C286" s="212"/>
      <c r="D286" s="212"/>
      <c r="E286" s="33"/>
      <c r="F286" s="33"/>
    </row>
    <row r="287" spans="1:6" ht="18" customHeight="1" x14ac:dyDescent="0.25">
      <c r="A287" s="40"/>
      <c r="B287" s="16" t="s">
        <v>354</v>
      </c>
    </row>
    <row r="288" spans="1:6" ht="18" customHeight="1" x14ac:dyDescent="0.25">
      <c r="A288" s="40"/>
      <c r="B288" s="212"/>
      <c r="C288" s="212"/>
      <c r="D288" s="212"/>
    </row>
    <row r="289" spans="1:27" ht="18" customHeight="1" x14ac:dyDescent="0.25">
      <c r="A289" s="116"/>
      <c r="B289" s="16" t="s">
        <v>355</v>
      </c>
    </row>
    <row r="290" spans="1:27" ht="18" customHeight="1" x14ac:dyDescent="0.25">
      <c r="A290" s="116"/>
      <c r="B290" s="212"/>
      <c r="C290" s="212"/>
      <c r="D290" s="212"/>
    </row>
    <row r="292" spans="1:27" ht="18" customHeight="1" x14ac:dyDescent="0.25">
      <c r="C292" s="110"/>
      <c r="D292" s="110" t="s">
        <v>461</v>
      </c>
    </row>
    <row r="293" spans="1:27" ht="18" customHeight="1" x14ac:dyDescent="0.25">
      <c r="D293" s="117" t="s">
        <v>445</v>
      </c>
      <c r="E293" s="66" t="s">
        <v>446</v>
      </c>
      <c r="F293" s="66" t="s">
        <v>447</v>
      </c>
      <c r="G293" s="118" t="s">
        <v>448</v>
      </c>
    </row>
    <row r="294" spans="1:27" ht="18" customHeight="1" x14ac:dyDescent="0.25">
      <c r="C294" s="20" t="s">
        <v>375</v>
      </c>
      <c r="D294" s="166"/>
      <c r="E294" s="166"/>
      <c r="F294" s="166"/>
      <c r="G294" s="166"/>
    </row>
    <row r="295" spans="1:27" ht="18" customHeight="1" x14ac:dyDescent="0.25">
      <c r="C295" s="65" t="s">
        <v>458</v>
      </c>
      <c r="D295" s="173"/>
      <c r="E295" s="173"/>
      <c r="F295" s="173"/>
      <c r="G295" s="173"/>
    </row>
    <row r="296" spans="1:27" ht="18" customHeight="1" x14ac:dyDescent="0.25">
      <c r="C296" s="65" t="s">
        <v>460</v>
      </c>
      <c r="D296" s="173"/>
      <c r="E296" s="173"/>
      <c r="F296" s="173"/>
      <c r="G296" s="173"/>
    </row>
    <row r="298" spans="1:27" ht="18" customHeight="1" x14ac:dyDescent="0.25">
      <c r="C298" s="119" t="s">
        <v>443</v>
      </c>
      <c r="D298" s="119"/>
      <c r="E298" s="119"/>
      <c r="F298" s="119"/>
      <c r="G298" s="119"/>
      <c r="W298" s="16"/>
    </row>
    <row r="299" spans="1:27" ht="18" customHeight="1" x14ac:dyDescent="0.25">
      <c r="B299" s="64" t="s">
        <v>444</v>
      </c>
      <c r="C299" s="64" t="s">
        <v>323</v>
      </c>
      <c r="D299" s="117" t="s">
        <v>445</v>
      </c>
      <c r="E299" s="66" t="s">
        <v>446</v>
      </c>
      <c r="F299" s="66" t="s">
        <v>447</v>
      </c>
      <c r="G299" s="118" t="s">
        <v>448</v>
      </c>
      <c r="W299" s="194"/>
      <c r="X299" s="131"/>
      <c r="Y299" s="131"/>
      <c r="Z299" s="131"/>
      <c r="AA299" s="131"/>
    </row>
    <row r="300" spans="1:27" ht="18" customHeight="1" x14ac:dyDescent="0.25">
      <c r="B300" s="184"/>
      <c r="C300" s="174"/>
      <c r="D300" s="166"/>
      <c r="E300" s="166"/>
      <c r="F300" s="166"/>
      <c r="G300" s="166"/>
      <c r="W300" s="194"/>
      <c r="X300" s="131"/>
      <c r="Y300" s="131"/>
      <c r="Z300" s="131"/>
      <c r="AA300" s="131"/>
    </row>
    <row r="301" spans="1:27" ht="18" customHeight="1" x14ac:dyDescent="0.25">
      <c r="B301" s="184"/>
      <c r="C301" s="174"/>
      <c r="D301" s="166"/>
      <c r="E301" s="166"/>
      <c r="F301" s="166"/>
      <c r="G301" s="166"/>
      <c r="W301" s="194"/>
      <c r="X301" s="131"/>
      <c r="Y301" s="131"/>
      <c r="Z301" s="131"/>
      <c r="AA301" s="131"/>
    </row>
    <row r="302" spans="1:27" ht="18" customHeight="1" x14ac:dyDescent="0.25">
      <c r="B302" s="184"/>
      <c r="C302" s="174"/>
      <c r="D302" s="166"/>
      <c r="E302" s="166"/>
      <c r="F302" s="166"/>
      <c r="G302" s="166"/>
      <c r="W302" s="194"/>
      <c r="X302" s="131"/>
      <c r="Y302" s="131"/>
      <c r="Z302" s="131"/>
      <c r="AA302" s="131"/>
    </row>
    <row r="303" spans="1:27" ht="18" customHeight="1" x14ac:dyDescent="0.25">
      <c r="B303" s="184"/>
      <c r="C303" s="174"/>
      <c r="D303" s="166"/>
      <c r="E303" s="166"/>
      <c r="F303" s="166"/>
      <c r="G303" s="166"/>
      <c r="W303" s="194"/>
      <c r="X303" s="131"/>
      <c r="Y303" s="131"/>
      <c r="Z303" s="131"/>
      <c r="AA303" s="131"/>
    </row>
    <row r="304" spans="1:27" ht="18" customHeight="1" x14ac:dyDescent="0.25">
      <c r="B304" s="184"/>
      <c r="C304" s="174"/>
      <c r="D304" s="166"/>
      <c r="E304" s="166"/>
      <c r="F304" s="166"/>
      <c r="G304" s="166"/>
      <c r="W304" s="194"/>
      <c r="X304" s="131"/>
      <c r="Y304" s="131"/>
      <c r="Z304" s="131"/>
      <c r="AA304" s="131"/>
    </row>
    <row r="305" spans="2:27" ht="18" customHeight="1" x14ac:dyDescent="0.25">
      <c r="B305" s="184"/>
      <c r="C305" s="174"/>
      <c r="D305" s="166"/>
      <c r="E305" s="166"/>
      <c r="F305" s="166"/>
      <c r="G305" s="166"/>
      <c r="W305" s="194"/>
      <c r="X305" s="131"/>
      <c r="Y305" s="131"/>
      <c r="Z305" s="131"/>
      <c r="AA305" s="131"/>
    </row>
    <row r="306" spans="2:27" ht="18" customHeight="1" x14ac:dyDescent="0.25">
      <c r="B306" s="184"/>
      <c r="C306" s="174"/>
      <c r="D306" s="166"/>
      <c r="E306" s="166"/>
      <c r="F306" s="166"/>
      <c r="G306" s="166"/>
      <c r="W306" s="194"/>
      <c r="X306" s="131"/>
      <c r="Y306" s="131"/>
      <c r="Z306" s="131"/>
      <c r="AA306" s="131"/>
    </row>
    <row r="307" spans="2:27" ht="18" customHeight="1" x14ac:dyDescent="0.25">
      <c r="B307" s="184"/>
      <c r="C307" s="174"/>
      <c r="D307" s="166"/>
      <c r="E307" s="166"/>
      <c r="F307" s="166"/>
      <c r="G307" s="166"/>
      <c r="W307" s="194"/>
      <c r="X307" s="131"/>
      <c r="Y307" s="131"/>
      <c r="Z307" s="131"/>
      <c r="AA307" s="131"/>
    </row>
    <row r="308" spans="2:27" ht="18" customHeight="1" x14ac:dyDescent="0.25">
      <c r="B308" s="184"/>
      <c r="C308" s="174"/>
      <c r="D308" s="166"/>
      <c r="E308" s="166"/>
      <c r="F308" s="166"/>
      <c r="G308" s="166"/>
      <c r="W308" s="194"/>
      <c r="X308" s="131"/>
      <c r="Y308" s="131"/>
      <c r="Z308" s="131"/>
      <c r="AA308" s="131"/>
    </row>
    <row r="309" spans="2:27" ht="18" customHeight="1" x14ac:dyDescent="0.25">
      <c r="B309" s="184"/>
      <c r="C309" s="174"/>
      <c r="D309" s="166"/>
      <c r="E309" s="166"/>
      <c r="F309" s="166"/>
      <c r="G309" s="166"/>
      <c r="W309" s="194"/>
      <c r="X309" s="131"/>
      <c r="Y309" s="131"/>
      <c r="Z309" s="131"/>
      <c r="AA309" s="131"/>
    </row>
    <row r="310" spans="2:27" ht="18" customHeight="1" x14ac:dyDescent="0.25">
      <c r="B310" s="184"/>
      <c r="C310" s="174"/>
      <c r="D310" s="166"/>
      <c r="E310" s="166"/>
      <c r="F310" s="166"/>
      <c r="G310" s="166"/>
      <c r="W310" s="194"/>
      <c r="X310" s="131"/>
      <c r="Y310" s="131"/>
      <c r="Z310" s="131"/>
      <c r="AA310" s="131"/>
    </row>
    <row r="311" spans="2:27" ht="18" customHeight="1" x14ac:dyDescent="0.25">
      <c r="B311" s="184"/>
      <c r="C311" s="174"/>
      <c r="D311" s="166"/>
      <c r="E311" s="166"/>
      <c r="F311" s="166"/>
      <c r="G311" s="166"/>
      <c r="W311" s="194"/>
      <c r="X311" s="131"/>
      <c r="Y311" s="131"/>
      <c r="Z311" s="131"/>
      <c r="AA311" s="131"/>
    </row>
    <row r="312" spans="2:27" ht="18" customHeight="1" x14ac:dyDescent="0.25">
      <c r="B312" s="184"/>
      <c r="C312" s="174"/>
      <c r="D312" s="166"/>
      <c r="E312" s="166"/>
      <c r="F312" s="166"/>
      <c r="G312" s="166"/>
      <c r="W312" s="194"/>
      <c r="X312" s="131"/>
      <c r="Y312" s="131"/>
      <c r="Z312" s="131"/>
      <c r="AA312" s="131"/>
    </row>
    <row r="313" spans="2:27" ht="18" customHeight="1" x14ac:dyDescent="0.25">
      <c r="B313" s="184"/>
      <c r="C313" s="174"/>
      <c r="D313" s="166"/>
      <c r="E313" s="166"/>
      <c r="F313" s="166"/>
      <c r="G313" s="166"/>
      <c r="W313" s="194"/>
      <c r="X313" s="131"/>
      <c r="Y313" s="131"/>
      <c r="Z313" s="131"/>
      <c r="AA313" s="131"/>
    </row>
    <row r="314" spans="2:27" ht="18" customHeight="1" x14ac:dyDescent="0.25">
      <c r="B314" s="184"/>
      <c r="C314" s="174"/>
      <c r="D314" s="166"/>
      <c r="E314" s="166"/>
      <c r="F314" s="166"/>
      <c r="G314" s="166"/>
      <c r="W314" s="194"/>
      <c r="X314" s="131"/>
      <c r="Y314" s="131"/>
      <c r="Z314" s="131"/>
      <c r="AA314" s="131"/>
    </row>
    <row r="315" spans="2:27" ht="18" customHeight="1" x14ac:dyDescent="0.25">
      <c r="B315" s="184"/>
      <c r="C315" s="174"/>
      <c r="D315" s="166"/>
      <c r="E315" s="166"/>
      <c r="F315" s="166"/>
      <c r="G315" s="166"/>
      <c r="W315" s="194"/>
      <c r="X315" s="131"/>
      <c r="Y315" s="131"/>
      <c r="Z315" s="131"/>
      <c r="AA315" s="131"/>
    </row>
    <row r="316" spans="2:27" ht="18" customHeight="1" x14ac:dyDescent="0.25">
      <c r="B316" s="184"/>
      <c r="C316" s="174"/>
      <c r="D316" s="166"/>
      <c r="E316" s="166"/>
      <c r="F316" s="166"/>
      <c r="G316" s="166"/>
      <c r="W316" s="194"/>
      <c r="X316" s="131"/>
      <c r="Y316" s="131"/>
      <c r="Z316" s="131"/>
      <c r="AA316" s="131"/>
    </row>
    <row r="317" spans="2:27" ht="18" customHeight="1" x14ac:dyDescent="0.25">
      <c r="B317" s="184"/>
      <c r="C317" s="174"/>
      <c r="D317" s="166"/>
      <c r="E317" s="166"/>
      <c r="F317" s="166"/>
      <c r="G317" s="166"/>
      <c r="W317" s="194"/>
      <c r="X317" s="131"/>
      <c r="Y317" s="131"/>
      <c r="Z317" s="131"/>
      <c r="AA317" s="131"/>
    </row>
    <row r="318" spans="2:27" ht="18" customHeight="1" x14ac:dyDescent="0.25">
      <c r="B318" s="184"/>
      <c r="C318" s="174"/>
      <c r="D318" s="166"/>
      <c r="E318" s="166"/>
      <c r="F318" s="166"/>
      <c r="G318" s="166"/>
      <c r="W318" s="194"/>
      <c r="X318" s="131"/>
      <c r="Y318" s="131"/>
      <c r="Z318" s="131"/>
      <c r="AA318" s="131"/>
    </row>
    <row r="319" spans="2:27" ht="18" customHeight="1" x14ac:dyDescent="0.25">
      <c r="B319" s="184"/>
      <c r="C319" s="174"/>
      <c r="D319" s="166"/>
      <c r="E319" s="166"/>
      <c r="F319" s="166"/>
      <c r="G319" s="166"/>
      <c r="W319" s="194"/>
      <c r="X319" s="131"/>
      <c r="Y319" s="131"/>
      <c r="Z319" s="131"/>
      <c r="AA319" s="131"/>
    </row>
    <row r="320" spans="2:27" ht="18" customHeight="1" x14ac:dyDescent="0.25">
      <c r="B320" s="184"/>
      <c r="C320" s="174"/>
      <c r="D320" s="166"/>
      <c r="E320" s="166"/>
      <c r="F320" s="166"/>
      <c r="G320" s="166"/>
      <c r="W320" s="194"/>
      <c r="X320" s="131"/>
      <c r="Y320" s="131"/>
      <c r="Z320" s="131"/>
      <c r="AA320" s="131"/>
    </row>
    <row r="321" spans="2:27" ht="18" customHeight="1" x14ac:dyDescent="0.25">
      <c r="B321" s="184"/>
      <c r="C321" s="174"/>
      <c r="D321" s="166"/>
      <c r="E321" s="166"/>
      <c r="F321" s="166"/>
      <c r="G321" s="166"/>
      <c r="W321" s="194"/>
      <c r="X321" s="131"/>
      <c r="Y321" s="131"/>
      <c r="Z321" s="131"/>
      <c r="AA321" s="131"/>
    </row>
    <row r="322" spans="2:27" ht="18" customHeight="1" x14ac:dyDescent="0.25">
      <c r="B322" s="184"/>
      <c r="C322" s="174"/>
      <c r="D322" s="166"/>
      <c r="E322" s="166"/>
      <c r="F322" s="166"/>
      <c r="G322" s="166"/>
      <c r="W322" s="194"/>
      <c r="X322" s="131"/>
      <c r="Y322" s="131"/>
      <c r="Z322" s="131"/>
      <c r="AA322" s="131"/>
    </row>
    <row r="323" spans="2:27" ht="18" customHeight="1" x14ac:dyDescent="0.25">
      <c r="B323" s="184"/>
      <c r="C323" s="174"/>
      <c r="D323" s="166"/>
      <c r="E323" s="166"/>
      <c r="F323" s="166"/>
      <c r="G323" s="166"/>
      <c r="W323" s="194"/>
      <c r="X323" s="131"/>
      <c r="Y323" s="131"/>
      <c r="Z323" s="131"/>
      <c r="AA323" s="131"/>
    </row>
    <row r="324" spans="2:27" ht="18" customHeight="1" x14ac:dyDescent="0.25">
      <c r="B324" s="184"/>
      <c r="C324" s="174"/>
      <c r="D324" s="166"/>
      <c r="E324" s="166"/>
      <c r="F324" s="166"/>
      <c r="G324" s="166"/>
      <c r="W324" s="194"/>
      <c r="X324" s="131"/>
      <c r="Y324" s="131"/>
      <c r="Z324" s="131"/>
      <c r="AA324" s="131"/>
    </row>
    <row r="325" spans="2:27" ht="18" customHeight="1" x14ac:dyDescent="0.25">
      <c r="G325" s="74"/>
      <c r="W325" s="46"/>
    </row>
    <row r="326" spans="2:27" ht="18" customHeight="1" x14ac:dyDescent="0.25">
      <c r="W326" s="46"/>
    </row>
    <row r="327" spans="2:27" ht="18" customHeight="1" x14ac:dyDescent="0.25">
      <c r="C327" s="65" t="s">
        <v>455</v>
      </c>
      <c r="D327" s="121" t="str">
        <f>IF(ISNUMBER(X314),SQRT(X314),"")</f>
        <v/>
      </c>
      <c r="E327" s="121" t="str">
        <f t="shared" ref="E327:G327" si="32">IF(ISNUMBER(Y314),SQRT(Y314),"")</f>
        <v/>
      </c>
      <c r="F327" s="121" t="str">
        <f t="shared" si="32"/>
        <v/>
      </c>
      <c r="G327" s="121" t="str">
        <f t="shared" si="32"/>
        <v/>
      </c>
      <c r="W327" s="46"/>
    </row>
    <row r="328" spans="2:27" ht="18" customHeight="1" x14ac:dyDescent="0.25">
      <c r="C328" s="65" t="s">
        <v>456</v>
      </c>
      <c r="D328" s="121" t="str">
        <f>IF(ISNUMBER(X316),X316,"")</f>
        <v/>
      </c>
      <c r="E328" s="121" t="str">
        <f t="shared" ref="E328:G328" si="33">IF(ISNUMBER(Y316),Y316,"")</f>
        <v/>
      </c>
      <c r="F328" s="121" t="str">
        <f t="shared" si="33"/>
        <v/>
      </c>
      <c r="G328" s="121" t="str">
        <f t="shared" si="33"/>
        <v/>
      </c>
      <c r="W328" s="46"/>
    </row>
    <row r="329" spans="2:27" ht="18" customHeight="1" x14ac:dyDescent="0.25">
      <c r="C329" s="65" t="s">
        <v>457</v>
      </c>
      <c r="D329" s="80" t="str">
        <f>IF(ISNUMBER(X318),X318,"")</f>
        <v/>
      </c>
      <c r="E329" s="80" t="str">
        <f t="shared" ref="E329:G329" si="34">IF(ISNUMBER(Y318),Y318,"")</f>
        <v/>
      </c>
      <c r="F329" s="80" t="str">
        <f t="shared" si="34"/>
        <v/>
      </c>
      <c r="G329" s="80" t="str">
        <f t="shared" si="34"/>
        <v/>
      </c>
      <c r="I329" s="24"/>
      <c r="W329" s="46"/>
    </row>
    <row r="330" spans="2:27" ht="18" customHeight="1" x14ac:dyDescent="0.25">
      <c r="C330" s="65"/>
      <c r="W330" s="46"/>
    </row>
    <row r="331" spans="2:27" ht="18" customHeight="1" x14ac:dyDescent="0.25">
      <c r="C331" s="65" t="s">
        <v>458</v>
      </c>
      <c r="D331" s="122" t="str">
        <f>IF(ISNUMBER(X315),X315,"")</f>
        <v/>
      </c>
      <c r="E331" s="122" t="str">
        <f t="shared" ref="E331:G331" si="35">IF(ISNUMBER(Y315),Y315,"")</f>
        <v/>
      </c>
      <c r="F331" s="122" t="str">
        <f t="shared" si="35"/>
        <v/>
      </c>
      <c r="G331" s="122" t="str">
        <f t="shared" si="35"/>
        <v/>
      </c>
      <c r="W331" s="46"/>
    </row>
    <row r="332" spans="2:27" ht="18" customHeight="1" x14ac:dyDescent="0.25">
      <c r="C332" s="65" t="s">
        <v>459</v>
      </c>
      <c r="D332" s="122" t="str">
        <f>IF(ISNUMBER(X317),X317,"")</f>
        <v/>
      </c>
      <c r="E332" s="122" t="str">
        <f>IF(ISERROR(E328/Y318),"",E328/Y318)</f>
        <v/>
      </c>
      <c r="F332" s="122" t="str">
        <f>IF(ISERROR(F328/Z318),"",F328/Z318)</f>
        <v/>
      </c>
      <c r="G332" s="122" t="str">
        <f>IF(ISERROR(G328/AA318),"",G328/AA318)</f>
        <v/>
      </c>
      <c r="W332" s="46"/>
    </row>
    <row r="333" spans="2:27" ht="18" customHeight="1" x14ac:dyDescent="0.25">
      <c r="C333" s="65" t="s">
        <v>460</v>
      </c>
      <c r="D333" s="122" t="str">
        <f>IF(ISNUMBER(X319),X319,"")</f>
        <v/>
      </c>
      <c r="E333" s="122" t="str">
        <f t="shared" ref="E333:G333" si="36">IF(ISNUMBER(Y319),Y319,"")</f>
        <v/>
      </c>
      <c r="F333" s="122" t="str">
        <f t="shared" si="36"/>
        <v/>
      </c>
      <c r="G333" s="122" t="str">
        <f t="shared" si="36"/>
        <v/>
      </c>
      <c r="W333" s="46"/>
    </row>
    <row r="334" spans="2:27" ht="18" customHeight="1" x14ac:dyDescent="0.25">
      <c r="W334" s="46"/>
    </row>
    <row r="335" spans="2:27" ht="18" customHeight="1" x14ac:dyDescent="0.25">
      <c r="W335" s="46"/>
    </row>
    <row r="336" spans="2:27" ht="18" customHeight="1" x14ac:dyDescent="0.25">
      <c r="C336" s="16"/>
      <c r="D336" s="16" t="s">
        <v>462</v>
      </c>
      <c r="W336" s="46"/>
    </row>
    <row r="337" spans="1:27" ht="18" customHeight="1" x14ac:dyDescent="0.25">
      <c r="C337" s="65" t="s">
        <v>463</v>
      </c>
      <c r="D337" s="122" t="str">
        <f>IF(ISNUMBER(D327),X323*D295,"")</f>
        <v/>
      </c>
      <c r="E337" s="122" t="str">
        <f t="shared" ref="E337:G338" si="37">IF(ISNUMBER(E327),Y323*E295,"")</f>
        <v/>
      </c>
      <c r="F337" s="122" t="str">
        <f t="shared" si="37"/>
        <v/>
      </c>
      <c r="G337" s="122" t="str">
        <f t="shared" si="37"/>
        <v/>
      </c>
      <c r="W337" s="46"/>
    </row>
    <row r="338" spans="1:27" ht="18" customHeight="1" x14ac:dyDescent="0.25">
      <c r="C338" s="65" t="s">
        <v>464</v>
      </c>
      <c r="D338" s="122" t="str">
        <f>IF(ISNUMBER(D328),X324*D296,"")</f>
        <v/>
      </c>
      <c r="E338" s="122" t="str">
        <f t="shared" si="37"/>
        <v/>
      </c>
      <c r="F338" s="122" t="str">
        <f t="shared" si="37"/>
        <v/>
      </c>
      <c r="G338" s="122" t="str">
        <f t="shared" si="37"/>
        <v/>
      </c>
      <c r="W338" s="46"/>
    </row>
    <row r="339" spans="1:27" ht="18" customHeight="1" x14ac:dyDescent="0.25">
      <c r="W339" s="46"/>
    </row>
    <row r="340" spans="1:27" ht="18" customHeight="1" x14ac:dyDescent="0.25">
      <c r="D340" s="36" t="s">
        <v>465</v>
      </c>
      <c r="E340" s="36"/>
      <c r="F340" s="36"/>
      <c r="G340" s="36"/>
      <c r="W340" s="46"/>
    </row>
    <row r="341" spans="1:27" ht="18" customHeight="1" x14ac:dyDescent="0.25">
      <c r="C341" s="20"/>
      <c r="D341" s="66" t="s">
        <v>445</v>
      </c>
      <c r="E341" s="66" t="s">
        <v>446</v>
      </c>
      <c r="F341" s="66" t="s">
        <v>447</v>
      </c>
      <c r="G341" s="66" t="s">
        <v>448</v>
      </c>
      <c r="W341" s="46"/>
    </row>
    <row r="342" spans="1:27" ht="18" customHeight="1" x14ac:dyDescent="0.25">
      <c r="C342" s="20" t="s">
        <v>455</v>
      </c>
      <c r="D342" s="123" t="str">
        <f>IF(D327="","",IF(D331&gt;D337, "Fail","Pass"))</f>
        <v/>
      </c>
      <c r="E342" s="123" t="str">
        <f t="shared" ref="E342:G342" si="38">IF(E327="","",IF(E331&gt;E337, "Fail","Pass"))</f>
        <v/>
      </c>
      <c r="F342" s="123" t="str">
        <f t="shared" si="38"/>
        <v/>
      </c>
      <c r="G342" s="123" t="str">
        <f t="shared" si="38"/>
        <v/>
      </c>
      <c r="W342" s="46"/>
      <c r="X342" s="124"/>
      <c r="Y342" s="124"/>
      <c r="Z342" s="124"/>
      <c r="AA342" s="124"/>
    </row>
    <row r="343" spans="1:27" ht="18" customHeight="1" x14ac:dyDescent="0.25">
      <c r="C343" s="20" t="s">
        <v>466</v>
      </c>
      <c r="D343" s="123" t="str">
        <f>IF(D328="","",IF(D333&gt;D338, "Fail","Pass"))</f>
        <v/>
      </c>
      <c r="E343" s="123" t="str">
        <f t="shared" ref="E343:G343" si="39">IF(E328="","",IF(E333&gt;E338, "Fail","Pass"))</f>
        <v/>
      </c>
      <c r="F343" s="123" t="str">
        <f t="shared" si="39"/>
        <v/>
      </c>
      <c r="G343" s="123" t="str">
        <f t="shared" si="39"/>
        <v/>
      </c>
      <c r="W343" s="46"/>
      <c r="X343" s="74"/>
      <c r="Y343" s="74"/>
      <c r="Z343" s="74"/>
      <c r="AA343" s="74"/>
    </row>
    <row r="344" spans="1:27" ht="18" customHeight="1" x14ac:dyDescent="0.25">
      <c r="W344" s="46"/>
      <c r="X344" s="74"/>
      <c r="Y344" s="74"/>
      <c r="Z344" s="74"/>
      <c r="AA344" s="74"/>
    </row>
    <row r="345" spans="1:27" ht="18" customHeight="1" x14ac:dyDescent="0.25">
      <c r="A345" s="110"/>
      <c r="W345" s="46"/>
      <c r="X345" s="74"/>
      <c r="Y345" s="74"/>
      <c r="Z345" s="74"/>
      <c r="AA345" s="74"/>
    </row>
    <row r="346" spans="1:27" ht="18" customHeight="1" x14ac:dyDescent="0.25">
      <c r="D346" s="110" t="s">
        <v>467</v>
      </c>
      <c r="E346" s="28"/>
      <c r="F346" s="28"/>
      <c r="G346" s="28"/>
      <c r="W346" s="46"/>
      <c r="X346" s="74"/>
      <c r="Y346" s="74"/>
      <c r="Z346" s="74"/>
      <c r="AA346" s="74"/>
    </row>
    <row r="347" spans="1:27" ht="18" customHeight="1" x14ac:dyDescent="0.25">
      <c r="D347" s="66" t="s">
        <v>445</v>
      </c>
      <c r="E347" s="66" t="s">
        <v>446</v>
      </c>
      <c r="F347" s="66" t="s">
        <v>447</v>
      </c>
      <c r="G347" s="66" t="s">
        <v>448</v>
      </c>
      <c r="V347" s="46"/>
      <c r="W347" s="20"/>
    </row>
    <row r="348" spans="1:27" ht="18" customHeight="1" x14ac:dyDescent="0.25">
      <c r="C348" s="20" t="s">
        <v>375</v>
      </c>
      <c r="D348" s="104" t="str">
        <f>IF(ISNUMBER(X318),X318,"")</f>
        <v/>
      </c>
      <c r="E348" s="104" t="str">
        <f>IF(ISNUMBER(Y318),Y318,"")</f>
        <v/>
      </c>
      <c r="F348" s="104" t="str">
        <f>IF(ISNUMBER(Z318),Z318,"")</f>
        <v/>
      </c>
      <c r="G348" s="104" t="str">
        <f>IF(ISNUMBER(AA318),AA318,"")</f>
        <v/>
      </c>
      <c r="V348" s="46"/>
      <c r="W348" s="46"/>
    </row>
    <row r="349" spans="1:27" ht="18" customHeight="1" x14ac:dyDescent="0.25">
      <c r="C349" s="20" t="s">
        <v>468</v>
      </c>
      <c r="D349" s="125" t="str">
        <f>IF(ISNUMBER(D348),IF(D348&lt;$J8,$J4/D348,$J6),"")</f>
        <v/>
      </c>
      <c r="E349" s="125" t="str">
        <f>IF(ISNUMBER(E348),IF(E348&lt;$J8,$J4/E348,$J6),"")</f>
        <v/>
      </c>
      <c r="F349" s="125" t="str">
        <f>IF(ISNUMBER(F348),IF(F348&lt;$J8,$J4/F348,$J6),"")</f>
        <v/>
      </c>
      <c r="G349" s="125" t="str">
        <f>IF(ISNUMBER(G348),IF(G348&lt;$J8,$J4/G348,$J6),"")</f>
        <v/>
      </c>
      <c r="V349" s="46"/>
      <c r="W349" s="20"/>
    </row>
    <row r="350" spans="1:27" ht="18" customHeight="1" x14ac:dyDescent="0.25">
      <c r="C350" s="20" t="s">
        <v>469</v>
      </c>
      <c r="D350" s="126" t="str">
        <f>IF(ISNUMBER(D333),D349/D333,"")</f>
        <v/>
      </c>
      <c r="E350" s="126" t="str">
        <f>IF(ISNUMBER(E333),E349/E333,"")</f>
        <v/>
      </c>
      <c r="F350" s="126" t="str">
        <f>IF(ISNUMBER(F333),F349/F333,"")</f>
        <v/>
      </c>
      <c r="G350" s="126" t="str">
        <f>IF(ISNUMBER(G333),G349/G333,"")</f>
        <v/>
      </c>
      <c r="V350" s="46"/>
      <c r="W350" s="46"/>
    </row>
    <row r="351" spans="1:27" ht="18" customHeight="1" x14ac:dyDescent="0.25">
      <c r="C351" s="20" t="s">
        <v>470</v>
      </c>
      <c r="D351" s="127" t="str">
        <f>IF(ISNUMBER(D350),IF(D350&lt;4,"Poor",IF(AND(D350&gt;=4,D350&lt;6),"Acceptable",IF(D350&gt;6,"Good",""))),"")</f>
        <v/>
      </c>
      <c r="E351" s="127" t="str">
        <f>IF(ISNUMBER(E350),IF(E350&lt;4,"Poor",IF(AND(E350&gt;=4,E350&lt;6),"Acceptable",IF(E350&gt;6,"Good",""))),"")</f>
        <v/>
      </c>
      <c r="F351" s="127" t="str">
        <f>IF(ISNUMBER(F350),IF(F350&lt;4,"Poor",IF(AND(F350&gt;=4,F350&lt;6),"Acceptable",IF(F350&gt;6,"Good",""))),"")</f>
        <v/>
      </c>
      <c r="G351" s="127" t="str">
        <f>IF(ISNUMBER(G350),IF(G350&lt;4,"Poor",IF(AND(G350&gt;=4,G350&lt;6),"Acceptable",IF(G350&gt;6,"Good",""))),"")</f>
        <v/>
      </c>
      <c r="V351" s="46"/>
      <c r="W351" s="46"/>
    </row>
    <row r="352" spans="1:27" ht="18" customHeight="1" x14ac:dyDescent="0.25">
      <c r="A352" s="16"/>
      <c r="V352" s="46"/>
      <c r="W352" s="46"/>
    </row>
    <row r="353" spans="1:27" ht="18" customHeight="1" x14ac:dyDescent="0.25">
      <c r="V353" s="46"/>
      <c r="W353" s="46"/>
    </row>
    <row r="354" spans="1:27" ht="18" customHeight="1" x14ac:dyDescent="0.25">
      <c r="D354" s="16" t="s">
        <v>471</v>
      </c>
      <c r="V354" s="46"/>
      <c r="W354" s="46"/>
    </row>
    <row r="355" spans="1:27" ht="18" customHeight="1" x14ac:dyDescent="0.25">
      <c r="C355" s="65" t="s">
        <v>472</v>
      </c>
      <c r="D355" s="128" t="e">
        <f>IF(OR(ISNA(VLOOKUP(B$4,APS_Table[],4,FALSE())),VLOOKUP(B$4,APS_Table[],4,FALSE())=0),"",VLOOKUP(B$4,APS_Table[],4,FALSE()))</f>
        <v>#N/A</v>
      </c>
      <c r="G355" s="17" t="s">
        <v>473</v>
      </c>
      <c r="W355" s="46"/>
      <c r="X355" s="129"/>
      <c r="Y355" s="129"/>
      <c r="Z355" s="129"/>
      <c r="AA355" s="129"/>
    </row>
    <row r="356" spans="1:27" ht="18" customHeight="1" x14ac:dyDescent="0.25">
      <c r="C356" s="65" t="s">
        <v>474</v>
      </c>
      <c r="D356" s="128" t="e">
        <f>IF(OR(ISNA(VLOOKUP(B$4,APS_Table[],5,FALSE())),VLOOKUP(B$4,APS_Table[],5,FALSE())=0),"",VLOOKUP(B$4,APS_Table[],5,FALSE()))</f>
        <v>#N/A</v>
      </c>
      <c r="F356" s="65" t="s">
        <v>475</v>
      </c>
      <c r="G356" s="130" t="str">
        <f>IF(AND(ISNUMBER(D355),ISNUMBER(D356)),IF(D357="Optimal",0.25*D355,IF(D357="Desirable",0.5*D355,0.75*D355)),"")</f>
        <v/>
      </c>
    </row>
    <row r="357" spans="1:27" ht="18" customHeight="1" x14ac:dyDescent="0.25">
      <c r="C357" s="65" t="s">
        <v>476</v>
      </c>
      <c r="D357" s="131" t="s">
        <v>319</v>
      </c>
      <c r="F357" s="65" t="s">
        <v>401</v>
      </c>
      <c r="G357" s="130" t="str">
        <f>IF(AND(ISNUMBER(D355),ISNUMBER(D356)),IF(D357="Optimal",0.125*SQRT(D355^2+D356^2),IF(D357="Desirable",0.25*SQRT(D355^2+D356^2),0.375*SQRT(D355^2+D356^2))),"")</f>
        <v/>
      </c>
    </row>
    <row r="358" spans="1:27" ht="18" customHeight="1" x14ac:dyDescent="0.25">
      <c r="C358" s="65" t="s">
        <v>382</v>
      </c>
      <c r="D358" s="131">
        <v>0.05</v>
      </c>
      <c r="F358" s="65" t="s">
        <v>477</v>
      </c>
      <c r="G358" s="130" t="str">
        <f>IF(AND(ISNUMBER(D355),ISNUMBER(D356)),G357+_xlfn.NORM.INV(1-D358,0,1)*G356,"")</f>
        <v/>
      </c>
    </row>
    <row r="360" spans="1:27" ht="18" customHeight="1" x14ac:dyDescent="0.25">
      <c r="C360" s="20"/>
      <c r="D360" s="110" t="s">
        <v>462</v>
      </c>
      <c r="E360" s="28"/>
      <c r="F360" s="28"/>
      <c r="G360" s="28"/>
    </row>
    <row r="361" spans="1:27" ht="18" customHeight="1" x14ac:dyDescent="0.25">
      <c r="A361" s="16"/>
      <c r="C361" s="20"/>
      <c r="D361" s="66" t="s">
        <v>445</v>
      </c>
      <c r="E361" s="66" t="s">
        <v>446</v>
      </c>
      <c r="F361" s="66" t="s">
        <v>447</v>
      </c>
      <c r="G361" s="66" t="s">
        <v>448</v>
      </c>
    </row>
    <row r="362" spans="1:27" ht="18" customHeight="1" x14ac:dyDescent="0.25">
      <c r="C362" s="20" t="s">
        <v>455</v>
      </c>
      <c r="D362" s="132" t="str">
        <f>IF(AND(ISNUMBER($G356),ISNUMBER(X323)),$G356*X323,"")</f>
        <v/>
      </c>
      <c r="E362" s="132" t="str">
        <f t="shared" ref="E362:G362" si="40">IF(AND(ISNUMBER($G356),ISNUMBER(Y323)),$G356*Y323,"")</f>
        <v/>
      </c>
      <c r="F362" s="132" t="str">
        <f t="shared" si="40"/>
        <v/>
      </c>
      <c r="G362" s="132" t="str">
        <f t="shared" si="40"/>
        <v/>
      </c>
    </row>
    <row r="363" spans="1:27" ht="18" customHeight="1" x14ac:dyDescent="0.25">
      <c r="C363" s="20" t="s">
        <v>466</v>
      </c>
      <c r="D363" s="132" t="str">
        <f>IF(AND(ISNUMBER($G356),ISNUMBER(X324)),$G356*X324,"")</f>
        <v/>
      </c>
      <c r="E363" s="132" t="str">
        <f t="shared" ref="E363:G363" si="41">IF(AND(ISNUMBER($G356),ISNUMBER(Y324)),$G356*Y324,"")</f>
        <v/>
      </c>
      <c r="F363" s="132" t="str">
        <f t="shared" si="41"/>
        <v/>
      </c>
      <c r="G363" s="132" t="str">
        <f t="shared" si="41"/>
        <v/>
      </c>
    </row>
    <row r="364" spans="1:27" ht="18" customHeight="1" x14ac:dyDescent="0.25">
      <c r="C364" s="20"/>
      <c r="D364" s="133"/>
      <c r="E364" s="133"/>
      <c r="F364" s="133"/>
      <c r="G364" s="133"/>
    </row>
    <row r="365" spans="1:27" ht="18" customHeight="1" x14ac:dyDescent="0.25">
      <c r="C365" s="20"/>
      <c r="D365" s="110" t="s">
        <v>478</v>
      </c>
      <c r="E365" s="28"/>
      <c r="F365" s="28"/>
      <c r="G365" s="28"/>
    </row>
    <row r="366" spans="1:27" ht="18" customHeight="1" x14ac:dyDescent="0.25">
      <c r="C366" s="20" t="s">
        <v>455</v>
      </c>
      <c r="D366" s="123" t="str">
        <f>IF(NOT(ISNUMBER(D362)),"",IF(D331&gt;D362,"Fail","Pass"))</f>
        <v/>
      </c>
      <c r="E366" s="123" t="str">
        <f>IF(NOT(ISNUMBER(E362)),"",IF(E331&gt;E362,"Fail","Pass"))</f>
        <v/>
      </c>
      <c r="F366" s="123" t="str">
        <f>IF(NOT(ISNUMBER(F362)),"",IF(F331&gt;F362,"Fail","Pass"))</f>
        <v/>
      </c>
      <c r="G366" s="123" t="str">
        <f>IF(NOT(ISNUMBER(G362)),"",IF(G331&gt;G362,"Fail","Pass"))</f>
        <v/>
      </c>
    </row>
    <row r="367" spans="1:27" ht="18" customHeight="1" x14ac:dyDescent="0.25">
      <c r="C367" s="20" t="s">
        <v>466</v>
      </c>
      <c r="D367" s="123" t="str">
        <f>IF(NOT(ISNUMBER(D363)),"",IF(D333&gt;D363,"Fail","Pass"))</f>
        <v/>
      </c>
      <c r="E367" s="123" t="str">
        <f>IF(NOT(ISNUMBER(E363)),"",IF(E333&gt;E363,"Fail","Pass"))</f>
        <v/>
      </c>
      <c r="F367" s="123" t="str">
        <f>IF(NOT(ISNUMBER(F363)),"",IF(F333&gt;F363,"Fail","Pass"))</f>
        <v/>
      </c>
      <c r="G367" s="123" t="str">
        <f>IF(NOT(ISNUMBER(G363)),"",IF(G333&gt;G363,"Fail","Pass"))</f>
        <v/>
      </c>
    </row>
    <row r="370" spans="1:13" s="10" customFormat="1" ht="18" customHeight="1" x14ac:dyDescent="0.25">
      <c r="A370" s="8"/>
      <c r="B370" s="8" t="s">
        <v>479</v>
      </c>
    </row>
    <row r="371" spans="1:13" s="49" customFormat="1" ht="18" customHeight="1" x14ac:dyDescent="0.25">
      <c r="A371" s="48"/>
      <c r="B371" s="48"/>
    </row>
    <row r="372" spans="1:13" ht="18" customHeight="1" x14ac:dyDescent="0.25">
      <c r="A372" s="16"/>
      <c r="B372" s="15" t="s">
        <v>480</v>
      </c>
    </row>
    <row r="373" spans="1:13" ht="18" customHeight="1" x14ac:dyDescent="0.25">
      <c r="A373" s="134"/>
      <c r="B373" s="213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5"/>
    </row>
    <row r="374" spans="1:13" ht="18" customHeight="1" x14ac:dyDescent="0.25">
      <c r="A374" s="16"/>
      <c r="B374" s="216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8"/>
    </row>
    <row r="375" spans="1:13" ht="18" customHeight="1" x14ac:dyDescent="0.25">
      <c r="A375" s="16"/>
      <c r="B375" s="216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8"/>
    </row>
    <row r="376" spans="1:13" ht="18" customHeight="1" x14ac:dyDescent="0.25">
      <c r="A376" s="16"/>
      <c r="B376" s="219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1"/>
    </row>
    <row r="377" spans="1:13" ht="18" customHeight="1" x14ac:dyDescent="0.25">
      <c r="A377" s="16"/>
    </row>
    <row r="378" spans="1:13" ht="18" customHeight="1" x14ac:dyDescent="0.25">
      <c r="A378" s="16"/>
    </row>
    <row r="379" spans="1:13" ht="18" customHeight="1" x14ac:dyDescent="0.25">
      <c r="B379" s="16" t="s">
        <v>481</v>
      </c>
    </row>
    <row r="380" spans="1:13" ht="18" customHeight="1" x14ac:dyDescent="0.25">
      <c r="B380" s="25" t="s">
        <v>482</v>
      </c>
      <c r="C380" s="25" t="s">
        <v>483</v>
      </c>
      <c r="G380" s="25" t="s">
        <v>482</v>
      </c>
      <c r="H380" s="25" t="s">
        <v>483</v>
      </c>
    </row>
    <row r="381" spans="1:13" ht="18" customHeight="1" x14ac:dyDescent="0.25">
      <c r="A381" s="65"/>
      <c r="B381" s="168"/>
      <c r="C381" s="168"/>
      <c r="G381" s="168"/>
      <c r="H381" s="168"/>
    </row>
    <row r="383" spans="1:13" ht="18" customHeight="1" x14ac:dyDescent="0.25">
      <c r="B383" s="15" t="s">
        <v>357</v>
      </c>
      <c r="C383" s="15" t="s">
        <v>358</v>
      </c>
      <c r="D383" s="15" t="s">
        <v>484</v>
      </c>
      <c r="G383" s="15" t="s">
        <v>357</v>
      </c>
      <c r="H383" s="15" t="s">
        <v>358</v>
      </c>
      <c r="I383" s="15" t="s">
        <v>484</v>
      </c>
    </row>
    <row r="384" spans="1:13" ht="18" customHeight="1" x14ac:dyDescent="0.25">
      <c r="A384" s="15">
        <v>1</v>
      </c>
      <c r="B384" s="175"/>
      <c r="C384" s="175"/>
      <c r="D384" s="175"/>
      <c r="E384" s="73" t="str">
        <f t="shared" ref="E384:E423" si="42">IF(AND(ISNUMBER(B$381),ISNUMBER(C$381),ISNUMBER(D384)),IF(AND(D384&gt;=B$381,D384&lt;=C$381),0,1),"")</f>
        <v/>
      </c>
      <c r="G384" s="175"/>
      <c r="H384" s="175"/>
      <c r="I384" s="175"/>
      <c r="J384" s="73" t="str">
        <f t="shared" ref="J384:J423" si="43">IF(AND(ISNUMBER(G$381),ISNUMBER(H$381),ISNUMBER(I384)),IF(AND(I384&gt;=G$381,I384&lt;=H$381),0,1),"")</f>
        <v/>
      </c>
    </row>
    <row r="385" spans="1:10" ht="18" customHeight="1" x14ac:dyDescent="0.25">
      <c r="A385" s="15">
        <v>2</v>
      </c>
      <c r="B385" s="175"/>
      <c r="C385" s="175"/>
      <c r="D385" s="175"/>
      <c r="E385" s="73" t="str">
        <f t="shared" si="42"/>
        <v/>
      </c>
      <c r="G385" s="175"/>
      <c r="H385" s="175"/>
      <c r="I385" s="175"/>
      <c r="J385" s="73" t="str">
        <f t="shared" si="43"/>
        <v/>
      </c>
    </row>
    <row r="386" spans="1:10" ht="18" customHeight="1" x14ac:dyDescent="0.25">
      <c r="A386" s="15">
        <v>3</v>
      </c>
      <c r="B386" s="175"/>
      <c r="C386" s="175"/>
      <c r="D386" s="175"/>
      <c r="E386" s="73" t="str">
        <f t="shared" si="42"/>
        <v/>
      </c>
      <c r="G386" s="175"/>
      <c r="H386" s="175"/>
      <c r="I386" s="175"/>
      <c r="J386" s="73" t="str">
        <f t="shared" si="43"/>
        <v/>
      </c>
    </row>
    <row r="387" spans="1:10" ht="18" customHeight="1" x14ac:dyDescent="0.25">
      <c r="A387" s="15">
        <v>4</v>
      </c>
      <c r="B387" s="175"/>
      <c r="C387" s="175"/>
      <c r="D387" s="175"/>
      <c r="E387" s="73" t="str">
        <f t="shared" si="42"/>
        <v/>
      </c>
      <c r="G387" s="175"/>
      <c r="H387" s="175"/>
      <c r="I387" s="175"/>
      <c r="J387" s="73" t="str">
        <f t="shared" si="43"/>
        <v/>
      </c>
    </row>
    <row r="388" spans="1:10" ht="18" customHeight="1" x14ac:dyDescent="0.25">
      <c r="A388" s="15">
        <v>5</v>
      </c>
      <c r="B388" s="175"/>
      <c r="C388" s="175"/>
      <c r="D388" s="175"/>
      <c r="E388" s="73" t="str">
        <f t="shared" si="42"/>
        <v/>
      </c>
      <c r="G388" s="175"/>
      <c r="H388" s="175"/>
      <c r="I388" s="175"/>
      <c r="J388" s="73" t="str">
        <f t="shared" si="43"/>
        <v/>
      </c>
    </row>
    <row r="389" spans="1:10" ht="18" customHeight="1" x14ac:dyDescent="0.25">
      <c r="A389" s="15">
        <v>6</v>
      </c>
      <c r="B389" s="175"/>
      <c r="C389" s="175"/>
      <c r="D389" s="175"/>
      <c r="E389" s="73" t="str">
        <f t="shared" si="42"/>
        <v/>
      </c>
      <c r="G389" s="175"/>
      <c r="H389" s="175"/>
      <c r="I389" s="175"/>
      <c r="J389" s="73" t="str">
        <f t="shared" si="43"/>
        <v/>
      </c>
    </row>
    <row r="390" spans="1:10" ht="18" customHeight="1" x14ac:dyDescent="0.25">
      <c r="A390" s="15">
        <v>7</v>
      </c>
      <c r="B390" s="175"/>
      <c r="C390" s="175"/>
      <c r="D390" s="175"/>
      <c r="E390" s="73" t="str">
        <f t="shared" si="42"/>
        <v/>
      </c>
      <c r="G390" s="175"/>
      <c r="H390" s="175"/>
      <c r="I390" s="175"/>
      <c r="J390" s="73" t="str">
        <f t="shared" si="43"/>
        <v/>
      </c>
    </row>
    <row r="391" spans="1:10" ht="18" customHeight="1" x14ac:dyDescent="0.25">
      <c r="A391" s="15">
        <v>8</v>
      </c>
      <c r="B391" s="175"/>
      <c r="C391" s="175"/>
      <c r="D391" s="175"/>
      <c r="E391" s="73" t="str">
        <f t="shared" si="42"/>
        <v/>
      </c>
      <c r="G391" s="175"/>
      <c r="H391" s="175"/>
      <c r="I391" s="175"/>
      <c r="J391" s="73" t="str">
        <f t="shared" si="43"/>
        <v/>
      </c>
    </row>
    <row r="392" spans="1:10" ht="18" customHeight="1" x14ac:dyDescent="0.25">
      <c r="A392" s="15">
        <v>9</v>
      </c>
      <c r="B392" s="175"/>
      <c r="C392" s="175"/>
      <c r="D392" s="175"/>
      <c r="E392" s="73" t="str">
        <f t="shared" si="42"/>
        <v/>
      </c>
      <c r="G392" s="175"/>
      <c r="H392" s="175"/>
      <c r="I392" s="175"/>
      <c r="J392" s="73" t="str">
        <f t="shared" si="43"/>
        <v/>
      </c>
    </row>
    <row r="393" spans="1:10" ht="18" customHeight="1" x14ac:dyDescent="0.25">
      <c r="A393" s="15">
        <v>10</v>
      </c>
      <c r="B393" s="175"/>
      <c r="C393" s="175"/>
      <c r="D393" s="175"/>
      <c r="E393" s="73" t="str">
        <f t="shared" si="42"/>
        <v/>
      </c>
      <c r="G393" s="175"/>
      <c r="H393" s="175"/>
      <c r="I393" s="175"/>
      <c r="J393" s="73" t="str">
        <f t="shared" si="43"/>
        <v/>
      </c>
    </row>
    <row r="394" spans="1:10" ht="18" customHeight="1" x14ac:dyDescent="0.25">
      <c r="A394" s="15">
        <v>11</v>
      </c>
      <c r="B394" s="175"/>
      <c r="C394" s="175"/>
      <c r="D394" s="175"/>
      <c r="E394" s="73" t="str">
        <f t="shared" si="42"/>
        <v/>
      </c>
      <c r="G394" s="175"/>
      <c r="H394" s="175"/>
      <c r="I394" s="175"/>
      <c r="J394" s="73" t="str">
        <f t="shared" si="43"/>
        <v/>
      </c>
    </row>
    <row r="395" spans="1:10" ht="18" customHeight="1" x14ac:dyDescent="0.25">
      <c r="A395" s="15">
        <v>12</v>
      </c>
      <c r="B395" s="175"/>
      <c r="C395" s="175"/>
      <c r="D395" s="175"/>
      <c r="E395" s="73" t="str">
        <f t="shared" si="42"/>
        <v/>
      </c>
      <c r="G395" s="175"/>
      <c r="H395" s="175"/>
      <c r="I395" s="175"/>
      <c r="J395" s="73" t="str">
        <f t="shared" si="43"/>
        <v/>
      </c>
    </row>
    <row r="396" spans="1:10" ht="18" customHeight="1" x14ac:dyDescent="0.25">
      <c r="A396" s="15">
        <v>13</v>
      </c>
      <c r="B396" s="175"/>
      <c r="C396" s="175"/>
      <c r="D396" s="175"/>
      <c r="E396" s="73" t="str">
        <f t="shared" si="42"/>
        <v/>
      </c>
      <c r="G396" s="175"/>
      <c r="H396" s="175"/>
      <c r="I396" s="175"/>
      <c r="J396" s="73" t="str">
        <f t="shared" si="43"/>
        <v/>
      </c>
    </row>
    <row r="397" spans="1:10" ht="18" customHeight="1" x14ac:dyDescent="0.25">
      <c r="A397" s="15">
        <v>14</v>
      </c>
      <c r="B397" s="175"/>
      <c r="C397" s="175"/>
      <c r="D397" s="175"/>
      <c r="E397" s="73" t="str">
        <f t="shared" si="42"/>
        <v/>
      </c>
      <c r="G397" s="175"/>
      <c r="H397" s="175"/>
      <c r="I397" s="175"/>
      <c r="J397" s="73" t="str">
        <f t="shared" si="43"/>
        <v/>
      </c>
    </row>
    <row r="398" spans="1:10" ht="18" customHeight="1" x14ac:dyDescent="0.25">
      <c r="A398" s="15">
        <v>15</v>
      </c>
      <c r="B398" s="175"/>
      <c r="C398" s="175"/>
      <c r="D398" s="175"/>
      <c r="E398" s="73" t="str">
        <f t="shared" si="42"/>
        <v/>
      </c>
      <c r="G398" s="175"/>
      <c r="H398" s="175"/>
      <c r="I398" s="175"/>
      <c r="J398" s="73" t="str">
        <f t="shared" si="43"/>
        <v/>
      </c>
    </row>
    <row r="399" spans="1:10" ht="18" customHeight="1" x14ac:dyDescent="0.25">
      <c r="A399" s="15">
        <v>16</v>
      </c>
      <c r="B399" s="175"/>
      <c r="C399" s="175"/>
      <c r="D399" s="175"/>
      <c r="E399" s="73" t="str">
        <f t="shared" si="42"/>
        <v/>
      </c>
      <c r="G399" s="175"/>
      <c r="H399" s="175"/>
      <c r="I399" s="175"/>
      <c r="J399" s="73" t="str">
        <f t="shared" si="43"/>
        <v/>
      </c>
    </row>
    <row r="400" spans="1:10" ht="18" customHeight="1" x14ac:dyDescent="0.25">
      <c r="A400" s="15">
        <v>17</v>
      </c>
      <c r="B400" s="175"/>
      <c r="C400" s="175"/>
      <c r="D400" s="175"/>
      <c r="E400" s="73" t="str">
        <f t="shared" si="42"/>
        <v/>
      </c>
      <c r="G400" s="175"/>
      <c r="H400" s="175"/>
      <c r="I400" s="175"/>
      <c r="J400" s="73" t="str">
        <f t="shared" si="43"/>
        <v/>
      </c>
    </row>
    <row r="401" spans="1:10" ht="18" customHeight="1" x14ac:dyDescent="0.25">
      <c r="A401" s="15">
        <v>18</v>
      </c>
      <c r="B401" s="175"/>
      <c r="C401" s="175"/>
      <c r="D401" s="175"/>
      <c r="E401" s="73" t="str">
        <f t="shared" si="42"/>
        <v/>
      </c>
      <c r="G401" s="175"/>
      <c r="H401" s="175"/>
      <c r="I401" s="175"/>
      <c r="J401" s="73" t="str">
        <f t="shared" si="43"/>
        <v/>
      </c>
    </row>
    <row r="402" spans="1:10" ht="18" customHeight="1" x14ac:dyDescent="0.25">
      <c r="A402" s="15">
        <v>19</v>
      </c>
      <c r="B402" s="175"/>
      <c r="C402" s="175"/>
      <c r="D402" s="175"/>
      <c r="E402" s="73" t="str">
        <f t="shared" si="42"/>
        <v/>
      </c>
      <c r="G402" s="175"/>
      <c r="H402" s="175"/>
      <c r="I402" s="175"/>
      <c r="J402" s="73" t="str">
        <f t="shared" si="43"/>
        <v/>
      </c>
    </row>
    <row r="403" spans="1:10" ht="18" customHeight="1" x14ac:dyDescent="0.25">
      <c r="A403" s="15">
        <v>20</v>
      </c>
      <c r="B403" s="175"/>
      <c r="C403" s="175"/>
      <c r="D403" s="175"/>
      <c r="E403" s="73" t="str">
        <f t="shared" si="42"/>
        <v/>
      </c>
      <c r="G403" s="175"/>
      <c r="H403" s="175"/>
      <c r="I403" s="175"/>
      <c r="J403" s="73" t="str">
        <f t="shared" si="43"/>
        <v/>
      </c>
    </row>
    <row r="404" spans="1:10" ht="18" customHeight="1" x14ac:dyDescent="0.25">
      <c r="A404" s="15">
        <v>21</v>
      </c>
      <c r="B404" s="175"/>
      <c r="C404" s="175"/>
      <c r="D404" s="175"/>
      <c r="E404" s="73" t="str">
        <f t="shared" si="42"/>
        <v/>
      </c>
      <c r="G404" s="175"/>
      <c r="H404" s="175"/>
      <c r="I404" s="175"/>
      <c r="J404" s="73" t="str">
        <f t="shared" si="43"/>
        <v/>
      </c>
    </row>
    <row r="405" spans="1:10" ht="18" customHeight="1" x14ac:dyDescent="0.25">
      <c r="A405" s="15">
        <v>22</v>
      </c>
      <c r="B405" s="175"/>
      <c r="C405" s="175"/>
      <c r="D405" s="175"/>
      <c r="E405" s="73" t="str">
        <f t="shared" si="42"/>
        <v/>
      </c>
      <c r="G405" s="175"/>
      <c r="H405" s="175"/>
      <c r="I405" s="175"/>
      <c r="J405" s="73" t="str">
        <f t="shared" si="43"/>
        <v/>
      </c>
    </row>
    <row r="406" spans="1:10" ht="18" customHeight="1" x14ac:dyDescent="0.25">
      <c r="A406" s="15">
        <v>23</v>
      </c>
      <c r="B406" s="175"/>
      <c r="C406" s="175"/>
      <c r="D406" s="175"/>
      <c r="E406" s="73" t="str">
        <f t="shared" si="42"/>
        <v/>
      </c>
      <c r="G406" s="175"/>
      <c r="H406" s="175"/>
      <c r="I406" s="175"/>
      <c r="J406" s="73" t="str">
        <f t="shared" si="43"/>
        <v/>
      </c>
    </row>
    <row r="407" spans="1:10" ht="18" customHeight="1" x14ac:dyDescent="0.25">
      <c r="A407" s="15">
        <v>24</v>
      </c>
      <c r="B407" s="175"/>
      <c r="C407" s="175"/>
      <c r="D407" s="175"/>
      <c r="E407" s="73" t="str">
        <f t="shared" si="42"/>
        <v/>
      </c>
      <c r="G407" s="175"/>
      <c r="H407" s="175"/>
      <c r="I407" s="175"/>
      <c r="J407" s="73" t="str">
        <f t="shared" si="43"/>
        <v/>
      </c>
    </row>
    <row r="408" spans="1:10" ht="18" customHeight="1" x14ac:dyDescent="0.25">
      <c r="A408" s="15">
        <v>25</v>
      </c>
      <c r="B408" s="175"/>
      <c r="C408" s="175"/>
      <c r="D408" s="175"/>
      <c r="E408" s="73" t="str">
        <f t="shared" si="42"/>
        <v/>
      </c>
      <c r="G408" s="175"/>
      <c r="H408" s="175"/>
      <c r="I408" s="175"/>
      <c r="J408" s="73" t="str">
        <f t="shared" si="43"/>
        <v/>
      </c>
    </row>
    <row r="409" spans="1:10" ht="18" customHeight="1" x14ac:dyDescent="0.25">
      <c r="A409" s="15">
        <v>26</v>
      </c>
      <c r="B409" s="175"/>
      <c r="C409" s="175"/>
      <c r="D409" s="175"/>
      <c r="E409" s="73" t="str">
        <f t="shared" si="42"/>
        <v/>
      </c>
      <c r="G409" s="175"/>
      <c r="H409" s="175"/>
      <c r="I409" s="175"/>
      <c r="J409" s="73" t="str">
        <f t="shared" si="43"/>
        <v/>
      </c>
    </row>
    <row r="410" spans="1:10" ht="18" customHeight="1" x14ac:dyDescent="0.25">
      <c r="A410" s="15">
        <v>27</v>
      </c>
      <c r="B410" s="175"/>
      <c r="C410" s="175"/>
      <c r="D410" s="175"/>
      <c r="E410" s="73" t="str">
        <f t="shared" si="42"/>
        <v/>
      </c>
      <c r="G410" s="175"/>
      <c r="H410" s="175"/>
      <c r="I410" s="175"/>
      <c r="J410" s="73" t="str">
        <f t="shared" si="43"/>
        <v/>
      </c>
    </row>
    <row r="411" spans="1:10" ht="18" customHeight="1" x14ac:dyDescent="0.25">
      <c r="A411" s="15">
        <v>28</v>
      </c>
      <c r="B411" s="175"/>
      <c r="C411" s="175"/>
      <c r="D411" s="175"/>
      <c r="E411" s="73" t="str">
        <f t="shared" si="42"/>
        <v/>
      </c>
      <c r="G411" s="175"/>
      <c r="H411" s="175"/>
      <c r="I411" s="175"/>
      <c r="J411" s="73" t="str">
        <f t="shared" si="43"/>
        <v/>
      </c>
    </row>
    <row r="412" spans="1:10" ht="18" customHeight="1" x14ac:dyDescent="0.25">
      <c r="A412" s="15">
        <v>29</v>
      </c>
      <c r="B412" s="175"/>
      <c r="C412" s="175"/>
      <c r="D412" s="175"/>
      <c r="E412" s="73" t="str">
        <f t="shared" si="42"/>
        <v/>
      </c>
      <c r="G412" s="175"/>
      <c r="H412" s="175"/>
      <c r="I412" s="175"/>
      <c r="J412" s="73" t="str">
        <f t="shared" si="43"/>
        <v/>
      </c>
    </row>
    <row r="413" spans="1:10" ht="18" customHeight="1" x14ac:dyDescent="0.25">
      <c r="A413" s="15">
        <v>30</v>
      </c>
      <c r="B413" s="175"/>
      <c r="C413" s="175"/>
      <c r="D413" s="175"/>
      <c r="E413" s="73" t="str">
        <f t="shared" si="42"/>
        <v/>
      </c>
      <c r="G413" s="175"/>
      <c r="H413" s="175"/>
      <c r="I413" s="175"/>
      <c r="J413" s="73" t="str">
        <f t="shared" si="43"/>
        <v/>
      </c>
    </row>
    <row r="414" spans="1:10" ht="18" customHeight="1" x14ac:dyDescent="0.25">
      <c r="A414" s="15">
        <v>31</v>
      </c>
      <c r="B414" s="175"/>
      <c r="C414" s="175"/>
      <c r="D414" s="175"/>
      <c r="E414" s="73" t="str">
        <f t="shared" si="42"/>
        <v/>
      </c>
      <c r="G414" s="175"/>
      <c r="H414" s="175"/>
      <c r="I414" s="175"/>
      <c r="J414" s="73" t="str">
        <f t="shared" si="43"/>
        <v/>
      </c>
    </row>
    <row r="415" spans="1:10" ht="18" customHeight="1" x14ac:dyDescent="0.25">
      <c r="A415" s="15">
        <v>32</v>
      </c>
      <c r="B415" s="175"/>
      <c r="C415" s="175"/>
      <c r="D415" s="175"/>
      <c r="E415" s="73" t="str">
        <f t="shared" si="42"/>
        <v/>
      </c>
      <c r="G415" s="175"/>
      <c r="H415" s="175"/>
      <c r="I415" s="175"/>
      <c r="J415" s="73" t="str">
        <f t="shared" si="43"/>
        <v/>
      </c>
    </row>
    <row r="416" spans="1:10" ht="18" customHeight="1" x14ac:dyDescent="0.25">
      <c r="A416" s="15">
        <v>33</v>
      </c>
      <c r="B416" s="175"/>
      <c r="C416" s="175"/>
      <c r="D416" s="175"/>
      <c r="E416" s="73" t="str">
        <f t="shared" si="42"/>
        <v/>
      </c>
      <c r="G416" s="175"/>
      <c r="H416" s="175"/>
      <c r="I416" s="175"/>
      <c r="J416" s="73" t="str">
        <f t="shared" si="43"/>
        <v/>
      </c>
    </row>
    <row r="417" spans="1:10" ht="18" customHeight="1" x14ac:dyDescent="0.25">
      <c r="A417" s="15">
        <v>34</v>
      </c>
      <c r="B417" s="175"/>
      <c r="C417" s="175"/>
      <c r="D417" s="175"/>
      <c r="E417" s="73" t="str">
        <f t="shared" si="42"/>
        <v/>
      </c>
      <c r="G417" s="175"/>
      <c r="H417" s="175"/>
      <c r="I417" s="175"/>
      <c r="J417" s="73" t="str">
        <f t="shared" si="43"/>
        <v/>
      </c>
    </row>
    <row r="418" spans="1:10" ht="18" customHeight="1" x14ac:dyDescent="0.25">
      <c r="A418" s="15">
        <v>35</v>
      </c>
      <c r="B418" s="175"/>
      <c r="C418" s="175"/>
      <c r="D418" s="175"/>
      <c r="E418" s="73" t="str">
        <f t="shared" si="42"/>
        <v/>
      </c>
      <c r="G418" s="175"/>
      <c r="H418" s="175"/>
      <c r="I418" s="175"/>
      <c r="J418" s="73" t="str">
        <f t="shared" si="43"/>
        <v/>
      </c>
    </row>
    <row r="419" spans="1:10" ht="18" customHeight="1" x14ac:dyDescent="0.25">
      <c r="A419" s="15">
        <v>36</v>
      </c>
      <c r="B419" s="175"/>
      <c r="C419" s="175"/>
      <c r="D419" s="175"/>
      <c r="E419" s="73" t="str">
        <f t="shared" si="42"/>
        <v/>
      </c>
      <c r="G419" s="175"/>
      <c r="H419" s="175"/>
      <c r="I419" s="175"/>
      <c r="J419" s="73" t="str">
        <f t="shared" si="43"/>
        <v/>
      </c>
    </row>
    <row r="420" spans="1:10" ht="18" customHeight="1" x14ac:dyDescent="0.25">
      <c r="A420" s="15">
        <v>37</v>
      </c>
      <c r="B420" s="175"/>
      <c r="C420" s="175"/>
      <c r="D420" s="175"/>
      <c r="E420" s="73" t="str">
        <f t="shared" si="42"/>
        <v/>
      </c>
      <c r="G420" s="175"/>
      <c r="H420" s="175"/>
      <c r="I420" s="175"/>
      <c r="J420" s="73" t="str">
        <f t="shared" si="43"/>
        <v/>
      </c>
    </row>
    <row r="421" spans="1:10" ht="18" customHeight="1" x14ac:dyDescent="0.25">
      <c r="A421" s="15">
        <v>38</v>
      </c>
      <c r="B421" s="175"/>
      <c r="C421" s="175"/>
      <c r="D421" s="175"/>
      <c r="E421" s="73" t="str">
        <f t="shared" si="42"/>
        <v/>
      </c>
      <c r="G421" s="175"/>
      <c r="H421" s="175"/>
      <c r="I421" s="175"/>
      <c r="J421" s="73" t="str">
        <f t="shared" si="43"/>
        <v/>
      </c>
    </row>
    <row r="422" spans="1:10" ht="18" customHeight="1" x14ac:dyDescent="0.25">
      <c r="A422" s="15">
        <v>39</v>
      </c>
      <c r="B422" s="175"/>
      <c r="C422" s="175"/>
      <c r="D422" s="175"/>
      <c r="E422" s="73" t="str">
        <f t="shared" si="42"/>
        <v/>
      </c>
      <c r="G422" s="175"/>
      <c r="H422" s="175"/>
      <c r="I422" s="175"/>
      <c r="J422" s="73" t="str">
        <f t="shared" si="43"/>
        <v/>
      </c>
    </row>
    <row r="423" spans="1:10" ht="18" customHeight="1" x14ac:dyDescent="0.25">
      <c r="A423" s="15">
        <v>40</v>
      </c>
      <c r="B423" s="175"/>
      <c r="C423" s="175"/>
      <c r="D423" s="175"/>
      <c r="E423" s="73" t="str">
        <f t="shared" si="42"/>
        <v/>
      </c>
      <c r="G423" s="175"/>
      <c r="H423" s="175"/>
      <c r="I423" s="175"/>
      <c r="J423" s="73" t="str">
        <f t="shared" si="43"/>
        <v/>
      </c>
    </row>
    <row r="426" spans="1:10" ht="18" customHeight="1" x14ac:dyDescent="0.25">
      <c r="C426" s="46" t="s">
        <v>565</v>
      </c>
      <c r="D426" s="73" t="str">
        <f>IF(ISNUMBER(D429),IF(D429&gt;=0.05,"Pass","Fail"),"")</f>
        <v/>
      </c>
      <c r="H426" s="46" t="s">
        <v>565</v>
      </c>
      <c r="I426" s="73" t="str">
        <f>IF(ISNUMBER(I429),IF(I429&gt;=0.05,"Pass","Fail"),"")</f>
        <v/>
      </c>
    </row>
    <row r="427" spans="1:10" ht="18" customHeight="1" x14ac:dyDescent="0.25">
      <c r="C427" s="120" t="s">
        <v>318</v>
      </c>
      <c r="D427" s="73">
        <f>COUNT(E384:E423)</f>
        <v>0</v>
      </c>
      <c r="H427" s="120" t="s">
        <v>318</v>
      </c>
      <c r="I427" s="73">
        <f>COUNT(J384:J423)</f>
        <v>0</v>
      </c>
    </row>
    <row r="428" spans="1:10" ht="18" customHeight="1" x14ac:dyDescent="0.25">
      <c r="C428" s="120" t="s">
        <v>566</v>
      </c>
      <c r="D428" s="73">
        <f>SUM(E384:E423)</f>
        <v>0</v>
      </c>
      <c r="H428" s="120" t="s">
        <v>566</v>
      </c>
      <c r="I428" s="73">
        <f>SUM(J384:J423)</f>
        <v>0</v>
      </c>
    </row>
    <row r="429" spans="1:10" ht="18" customHeight="1" x14ac:dyDescent="0.25">
      <c r="C429" s="120" t="s">
        <v>567</v>
      </c>
      <c r="D429" s="73" t="str">
        <f>IF(D427&gt;0,1-_xlfn.BINOM.DIST(D428,D427,0.05,TRUE()),"")</f>
        <v/>
      </c>
      <c r="H429" s="120" t="s">
        <v>567</v>
      </c>
      <c r="I429" s="73" t="str">
        <f>IF(I427&gt;0,1-_xlfn.BINOM.DIST(I428,I427,0.05,TRUE()),"")</f>
        <v/>
      </c>
    </row>
    <row r="432" spans="1:10" s="8" customFormat="1" ht="18" customHeight="1" x14ac:dyDescent="0.25">
      <c r="B432" s="8" t="s">
        <v>568</v>
      </c>
    </row>
    <row r="434" spans="1:24" s="135" customFormat="1" ht="18" customHeight="1" x14ac:dyDescent="0.25">
      <c r="B434" s="136" t="s">
        <v>569</v>
      </c>
      <c r="C434" s="136"/>
      <c r="D434" s="136"/>
      <c r="E434" s="136" t="s">
        <v>354</v>
      </c>
    </row>
    <row r="435" spans="1:24" s="135" customFormat="1" ht="18" customHeight="1" x14ac:dyDescent="0.25">
      <c r="B435" s="222"/>
      <c r="C435" s="223"/>
      <c r="D435" s="137"/>
      <c r="E435" s="222"/>
      <c r="F435" s="223"/>
      <c r="G435" s="137"/>
      <c r="H435" s="137"/>
      <c r="I435" s="137"/>
      <c r="J435" s="137"/>
      <c r="K435" s="137"/>
    </row>
    <row r="436" spans="1:24" s="135" customFormat="1" ht="18" customHeight="1" x14ac:dyDescent="0.25">
      <c r="B436" s="136" t="s">
        <v>387</v>
      </c>
      <c r="C436" s="136"/>
      <c r="D436" s="136"/>
      <c r="E436" s="136" t="s">
        <v>355</v>
      </c>
    </row>
    <row r="437" spans="1:24" s="135" customFormat="1" ht="18" customHeight="1" x14ac:dyDescent="0.25">
      <c r="B437" s="222"/>
      <c r="C437" s="223"/>
      <c r="D437" s="137"/>
      <c r="E437" s="222"/>
      <c r="F437" s="223"/>
      <c r="G437" s="137"/>
      <c r="H437" s="137"/>
      <c r="I437" s="137"/>
      <c r="J437" s="137"/>
      <c r="K437" s="137"/>
    </row>
    <row r="438" spans="1:24" s="135" customFormat="1" ht="18" customHeight="1" x14ac:dyDescent="0.25">
      <c r="A438" s="138"/>
    </row>
    <row r="439" spans="1:24" s="180" customFormat="1" ht="18" customHeight="1" x14ac:dyDescent="0.25">
      <c r="B439" s="181" t="s">
        <v>570</v>
      </c>
      <c r="C439" s="181"/>
    </row>
    <row r="440" spans="1:24" s="139" customFormat="1" ht="18" customHeight="1" x14ac:dyDescent="0.25"/>
    <row r="441" spans="1:24" s="139" customFormat="1" ht="18" customHeight="1" x14ac:dyDescent="0.25">
      <c r="B441" s="206" t="s">
        <v>571</v>
      </c>
      <c r="C441" s="206"/>
      <c r="D441" s="176"/>
      <c r="E441" s="140" t="str">
        <f>G4</f>
        <v/>
      </c>
    </row>
    <row r="442" spans="1:24" s="139" customFormat="1" ht="18" customHeight="1" x14ac:dyDescent="0.25"/>
    <row r="443" spans="1:24" s="135" customFormat="1" ht="18" customHeight="1" x14ac:dyDescent="0.25">
      <c r="C443" s="210" t="s">
        <v>572</v>
      </c>
      <c r="D443" s="210"/>
      <c r="E443" s="210"/>
      <c r="F443" s="210"/>
      <c r="G443" s="210"/>
      <c r="H443" s="141"/>
      <c r="I443" s="136"/>
      <c r="J443" s="142"/>
    </row>
    <row r="444" spans="1:24" s="135" customFormat="1" ht="18" customHeight="1" x14ac:dyDescent="0.25">
      <c r="C444" s="210"/>
      <c r="D444" s="210"/>
      <c r="E444" s="210"/>
      <c r="F444" s="210"/>
      <c r="G444" s="210"/>
      <c r="H444" s="141"/>
      <c r="I444" s="139"/>
      <c r="J444" s="211" t="s">
        <v>573</v>
      </c>
      <c r="K444" s="211"/>
      <c r="L444" s="211"/>
      <c r="M444" s="211"/>
      <c r="N444" s="211"/>
      <c r="O444" s="211"/>
      <c r="P444" s="211"/>
      <c r="Q444" s="211"/>
      <c r="V444" s="203" t="s">
        <v>574</v>
      </c>
      <c r="W444" s="203"/>
      <c r="X444" s="203"/>
    </row>
    <row r="445" spans="1:24" s="135" customFormat="1" ht="18" customHeight="1" x14ac:dyDescent="0.25">
      <c r="C445" s="143" t="s">
        <v>444</v>
      </c>
      <c r="D445" s="143" t="s">
        <v>575</v>
      </c>
      <c r="E445" s="143" t="s">
        <v>576</v>
      </c>
      <c r="F445" s="143" t="s">
        <v>577</v>
      </c>
      <c r="G445" s="143" t="s">
        <v>578</v>
      </c>
      <c r="J445" s="204" t="s">
        <v>579</v>
      </c>
      <c r="K445" s="204"/>
      <c r="L445" s="204"/>
      <c r="M445" s="204"/>
      <c r="N445" s="204" t="s">
        <v>580</v>
      </c>
      <c r="O445" s="204"/>
      <c r="P445" s="204"/>
      <c r="Q445" s="204"/>
      <c r="V445" s="145">
        <f t="shared" ref="V445:X453" si="44">IF(E446&lt;=$D$441,1,"")</f>
        <v>1</v>
      </c>
      <c r="W445" s="145">
        <f t="shared" si="44"/>
        <v>1</v>
      </c>
      <c r="X445" s="145">
        <f t="shared" si="44"/>
        <v>1</v>
      </c>
    </row>
    <row r="446" spans="1:24" s="135" customFormat="1" ht="18" customHeight="1" x14ac:dyDescent="0.25">
      <c r="C446" s="209" t="s">
        <v>449</v>
      </c>
      <c r="D446" s="177"/>
      <c r="E446" s="178"/>
      <c r="F446" s="178"/>
      <c r="G446" s="146"/>
      <c r="J446" s="204">
        <v>20</v>
      </c>
      <c r="K446" s="204"/>
      <c r="L446" s="204"/>
      <c r="M446" s="204"/>
      <c r="N446" s="205">
        <f t="shared" ref="N446:N461" si="45">_xlfn.BINOM.INV(J446,0.95,0.05)/J446</f>
        <v>0.85</v>
      </c>
      <c r="O446" s="205"/>
      <c r="P446" s="205"/>
      <c r="Q446" s="205"/>
      <c r="V446" s="145">
        <f t="shared" si="44"/>
        <v>1</v>
      </c>
      <c r="W446" s="145">
        <f t="shared" si="44"/>
        <v>1</v>
      </c>
      <c r="X446" s="145">
        <f t="shared" si="44"/>
        <v>1</v>
      </c>
    </row>
    <row r="447" spans="1:24" s="135" customFormat="1" ht="18" customHeight="1" x14ac:dyDescent="0.25">
      <c r="C447" s="209"/>
      <c r="D447" s="177"/>
      <c r="E447" s="178"/>
      <c r="F447" s="178"/>
      <c r="G447" s="146"/>
      <c r="J447" s="204">
        <v>30</v>
      </c>
      <c r="K447" s="204"/>
      <c r="L447" s="204"/>
      <c r="M447" s="204"/>
      <c r="N447" s="205">
        <f t="shared" si="45"/>
        <v>0.8666666666666667</v>
      </c>
      <c r="O447" s="205"/>
      <c r="P447" s="205"/>
      <c r="Q447" s="205"/>
      <c r="V447" s="145">
        <f t="shared" si="44"/>
        <v>1</v>
      </c>
      <c r="W447" s="145">
        <f t="shared" si="44"/>
        <v>1</v>
      </c>
      <c r="X447" s="145">
        <f t="shared" si="44"/>
        <v>1</v>
      </c>
    </row>
    <row r="448" spans="1:24" s="135" customFormat="1" ht="18" customHeight="1" x14ac:dyDescent="0.25">
      <c r="C448" s="209"/>
      <c r="D448" s="177"/>
      <c r="E448" s="178"/>
      <c r="F448" s="178"/>
      <c r="G448" s="146"/>
      <c r="J448" s="204">
        <v>40</v>
      </c>
      <c r="K448" s="204"/>
      <c r="L448" s="204"/>
      <c r="M448" s="204"/>
      <c r="N448" s="205">
        <f t="shared" si="45"/>
        <v>0.9</v>
      </c>
      <c r="O448" s="205"/>
      <c r="P448" s="205"/>
      <c r="Q448" s="205"/>
      <c r="V448" s="145">
        <f t="shared" si="44"/>
        <v>1</v>
      </c>
      <c r="W448" s="145">
        <f t="shared" si="44"/>
        <v>1</v>
      </c>
      <c r="X448" s="145">
        <f t="shared" si="44"/>
        <v>1</v>
      </c>
    </row>
    <row r="449" spans="1:24" s="135" customFormat="1" ht="18" customHeight="1" x14ac:dyDescent="0.25">
      <c r="C449" s="209" t="s">
        <v>451</v>
      </c>
      <c r="D449" s="177"/>
      <c r="E449" s="178"/>
      <c r="F449" s="178"/>
      <c r="G449" s="146"/>
      <c r="J449" s="204">
        <v>50</v>
      </c>
      <c r="K449" s="204"/>
      <c r="L449" s="204"/>
      <c r="M449" s="204"/>
      <c r="N449" s="205">
        <f t="shared" si="45"/>
        <v>0.9</v>
      </c>
      <c r="O449" s="205"/>
      <c r="P449" s="205"/>
      <c r="Q449" s="205"/>
      <c r="V449" s="145">
        <f t="shared" si="44"/>
        <v>1</v>
      </c>
      <c r="W449" s="145">
        <f t="shared" si="44"/>
        <v>1</v>
      </c>
      <c r="X449" s="145">
        <f t="shared" si="44"/>
        <v>1</v>
      </c>
    </row>
    <row r="450" spans="1:24" s="135" customFormat="1" ht="18" customHeight="1" x14ac:dyDescent="0.25">
      <c r="C450" s="209"/>
      <c r="D450" s="177"/>
      <c r="E450" s="178"/>
      <c r="F450" s="178"/>
      <c r="G450" s="146"/>
      <c r="J450" s="204">
        <v>60</v>
      </c>
      <c r="K450" s="204"/>
      <c r="L450" s="204"/>
      <c r="M450" s="204"/>
      <c r="N450" s="205">
        <f t="shared" si="45"/>
        <v>0.9</v>
      </c>
      <c r="O450" s="205"/>
      <c r="P450" s="205"/>
      <c r="Q450" s="205"/>
      <c r="V450" s="145">
        <f t="shared" si="44"/>
        <v>1</v>
      </c>
      <c r="W450" s="145">
        <f t="shared" si="44"/>
        <v>1</v>
      </c>
      <c r="X450" s="145">
        <f t="shared" si="44"/>
        <v>1</v>
      </c>
    </row>
    <row r="451" spans="1:24" s="135" customFormat="1" ht="18" customHeight="1" x14ac:dyDescent="0.25">
      <c r="C451" s="209"/>
      <c r="D451" s="177"/>
      <c r="E451" s="178"/>
      <c r="F451" s="178"/>
      <c r="G451" s="146"/>
      <c r="J451" s="204">
        <v>70</v>
      </c>
      <c r="K451" s="204"/>
      <c r="L451" s="204"/>
      <c r="M451" s="204"/>
      <c r="N451" s="205">
        <f t="shared" si="45"/>
        <v>0.9</v>
      </c>
      <c r="O451" s="205"/>
      <c r="P451" s="205"/>
      <c r="Q451" s="205"/>
      <c r="V451" s="145">
        <f t="shared" si="44"/>
        <v>1</v>
      </c>
      <c r="W451" s="145">
        <f t="shared" si="44"/>
        <v>1</v>
      </c>
      <c r="X451" s="145">
        <f t="shared" si="44"/>
        <v>1</v>
      </c>
    </row>
    <row r="452" spans="1:24" s="135" customFormat="1" ht="18" customHeight="1" x14ac:dyDescent="0.25">
      <c r="C452" s="209" t="s">
        <v>452</v>
      </c>
      <c r="D452" s="177"/>
      <c r="E452" s="178"/>
      <c r="F452" s="178"/>
      <c r="G452" s="146"/>
      <c r="J452" s="204">
        <v>80</v>
      </c>
      <c r="K452" s="204"/>
      <c r="L452" s="204"/>
      <c r="M452" s="204"/>
      <c r="N452" s="205">
        <f t="shared" si="45"/>
        <v>0.91249999999999998</v>
      </c>
      <c r="O452" s="205"/>
      <c r="P452" s="205"/>
      <c r="Q452" s="205"/>
      <c r="V452" s="145">
        <f t="shared" si="44"/>
        <v>1</v>
      </c>
      <c r="W452" s="145">
        <f t="shared" si="44"/>
        <v>1</v>
      </c>
      <c r="X452" s="145">
        <f t="shared" si="44"/>
        <v>1</v>
      </c>
    </row>
    <row r="453" spans="1:24" s="135" customFormat="1" ht="18" customHeight="1" x14ac:dyDescent="0.25">
      <c r="C453" s="209"/>
      <c r="D453" s="177"/>
      <c r="E453" s="178"/>
      <c r="F453" s="178"/>
      <c r="G453" s="146"/>
      <c r="J453" s="204">
        <v>90</v>
      </c>
      <c r="K453" s="204"/>
      <c r="L453" s="204"/>
      <c r="M453" s="204"/>
      <c r="N453" s="205">
        <f t="shared" si="45"/>
        <v>0.91111111111111109</v>
      </c>
      <c r="O453" s="205"/>
      <c r="P453" s="205"/>
      <c r="Q453" s="205"/>
      <c r="V453" s="145">
        <f t="shared" si="44"/>
        <v>1</v>
      </c>
      <c r="W453" s="145">
        <f t="shared" si="44"/>
        <v>1</v>
      </c>
      <c r="X453" s="145">
        <f t="shared" si="44"/>
        <v>1</v>
      </c>
    </row>
    <row r="454" spans="1:24" s="135" customFormat="1" ht="18" customHeight="1" x14ac:dyDescent="0.25">
      <c r="C454" s="209"/>
      <c r="D454" s="177"/>
      <c r="E454" s="178"/>
      <c r="F454" s="178"/>
      <c r="G454" s="146"/>
      <c r="J454" s="204">
        <v>100</v>
      </c>
      <c r="K454" s="204"/>
      <c r="L454" s="204"/>
      <c r="M454" s="204"/>
      <c r="N454" s="205">
        <f t="shared" si="45"/>
        <v>0.91</v>
      </c>
      <c r="O454" s="205"/>
      <c r="P454" s="205"/>
      <c r="Q454" s="205"/>
      <c r="S454" s="197" t="s">
        <v>581</v>
      </c>
      <c r="T454" s="197"/>
      <c r="U454" s="145">
        <f>SUM(V445:X453)</f>
        <v>27</v>
      </c>
    </row>
    <row r="455" spans="1:24" s="135" customFormat="1" ht="18" customHeight="1" x14ac:dyDescent="0.25">
      <c r="J455" s="204">
        <v>150</v>
      </c>
      <c r="K455" s="204"/>
      <c r="L455" s="204"/>
      <c r="M455" s="204"/>
      <c r="N455" s="205">
        <f t="shared" si="45"/>
        <v>0.92</v>
      </c>
      <c r="O455" s="205"/>
      <c r="P455" s="205"/>
      <c r="Q455" s="205"/>
      <c r="S455" s="197" t="s">
        <v>582</v>
      </c>
      <c r="T455" s="197"/>
      <c r="U455" s="148" t="e">
        <f>U454/D457*100</f>
        <v>#DIV/0!</v>
      </c>
      <c r="V455" s="135" t="s">
        <v>147</v>
      </c>
    </row>
    <row r="456" spans="1:24" s="135" customFormat="1" ht="18" customHeight="1" x14ac:dyDescent="0.25">
      <c r="J456" s="204">
        <v>200</v>
      </c>
      <c r="K456" s="204"/>
      <c r="L456" s="204"/>
      <c r="M456" s="204"/>
      <c r="N456" s="205">
        <f t="shared" si="45"/>
        <v>0.92500000000000004</v>
      </c>
      <c r="O456" s="205"/>
      <c r="P456" s="205"/>
      <c r="Q456" s="205"/>
    </row>
    <row r="457" spans="1:24" s="135" customFormat="1" ht="18" customHeight="1" x14ac:dyDescent="0.25">
      <c r="B457" s="195" t="s">
        <v>583</v>
      </c>
      <c r="C457" s="195"/>
      <c r="D457" s="144">
        <f>COUNT(E446:G454)</f>
        <v>0</v>
      </c>
      <c r="F457" s="149" t="s">
        <v>584</v>
      </c>
      <c r="G457" s="145">
        <f>_xlfn.BINOM.INV($D457,0.95,0.05)</f>
        <v>0</v>
      </c>
      <c r="J457" s="204">
        <v>250</v>
      </c>
      <c r="K457" s="204"/>
      <c r="L457" s="204"/>
      <c r="M457" s="204"/>
      <c r="N457" s="205">
        <f t="shared" si="45"/>
        <v>0.92800000000000005</v>
      </c>
      <c r="O457" s="205"/>
      <c r="P457" s="205"/>
      <c r="Q457" s="205"/>
    </row>
    <row r="458" spans="1:24" s="135" customFormat="1" ht="18" customHeight="1" x14ac:dyDescent="0.25">
      <c r="B458" s="195" t="s">
        <v>585</v>
      </c>
      <c r="C458" s="195"/>
      <c r="D458" s="145" t="e">
        <f>AVERAGE(E446:G454)</f>
        <v>#DIV/0!</v>
      </c>
      <c r="F458" s="149" t="s">
        <v>586</v>
      </c>
      <c r="G458" s="150" t="e">
        <f>G457/D457</f>
        <v>#DIV/0!</v>
      </c>
      <c r="J458" s="204">
        <v>300</v>
      </c>
      <c r="K458" s="204"/>
      <c r="L458" s="204"/>
      <c r="M458" s="204"/>
      <c r="N458" s="205">
        <f t="shared" si="45"/>
        <v>0.93</v>
      </c>
      <c r="O458" s="205"/>
      <c r="P458" s="205"/>
      <c r="Q458" s="205"/>
    </row>
    <row r="459" spans="1:24" s="135" customFormat="1" ht="18" customHeight="1" x14ac:dyDescent="0.25">
      <c r="B459" s="195" t="s">
        <v>587</v>
      </c>
      <c r="C459" s="195"/>
      <c r="D459" s="145" t="e">
        <f>_xlfn.STDEV.P(E446:G454)</f>
        <v>#DIV/0!</v>
      </c>
      <c r="J459" s="204">
        <v>400</v>
      </c>
      <c r="K459" s="204"/>
      <c r="L459" s="204"/>
      <c r="M459" s="204"/>
      <c r="N459" s="205">
        <f t="shared" si="45"/>
        <v>0.9325</v>
      </c>
      <c r="O459" s="205"/>
      <c r="P459" s="205"/>
      <c r="Q459" s="205"/>
    </row>
    <row r="460" spans="1:24" s="135" customFormat="1" ht="18" customHeight="1" x14ac:dyDescent="0.25">
      <c r="A460" s="200" t="s">
        <v>588</v>
      </c>
      <c r="B460" s="200"/>
      <c r="C460" s="200"/>
      <c r="D460" s="144" t="e">
        <f>D458+G461*D459</f>
        <v>#DIV/0!</v>
      </c>
      <c r="E460" s="135">
        <f>D432</f>
        <v>0</v>
      </c>
      <c r="F460" s="149" t="s">
        <v>439</v>
      </c>
      <c r="G460" s="146">
        <v>0.05</v>
      </c>
      <c r="J460" s="204">
        <v>500</v>
      </c>
      <c r="K460" s="204"/>
      <c r="L460" s="204"/>
      <c r="M460" s="204"/>
      <c r="N460" s="205">
        <f t="shared" si="45"/>
        <v>0.93400000000000005</v>
      </c>
      <c r="O460" s="205"/>
      <c r="P460" s="205"/>
      <c r="Q460" s="205"/>
    </row>
    <row r="461" spans="1:24" s="135" customFormat="1" ht="18" customHeight="1" x14ac:dyDescent="0.25">
      <c r="B461" s="147"/>
      <c r="C461" s="147"/>
      <c r="D461" s="143" t="str">
        <f>IF(U454&gt;=G457,"Pass","Fail")</f>
        <v>Pass</v>
      </c>
      <c r="F461" s="149" t="s">
        <v>589</v>
      </c>
      <c r="G461" s="152">
        <f>_xlfn.NORM.INV(1-G460,0,1)/(1-(1/(4*((COUNT(E446:E454)-1)+(COUNT(F446:F454)-1)+(COUNT(G446:G454)-1)))))</f>
        <v>1.5183264248782815</v>
      </c>
      <c r="J461" s="204">
        <v>1000</v>
      </c>
      <c r="K461" s="204"/>
      <c r="L461" s="204"/>
      <c r="M461" s="204"/>
      <c r="N461" s="205">
        <f t="shared" si="45"/>
        <v>0.93799999999999994</v>
      </c>
      <c r="O461" s="205"/>
      <c r="P461" s="205"/>
      <c r="Q461" s="205"/>
    </row>
    <row r="462" spans="1:24" s="135" customFormat="1" ht="18" customHeight="1" x14ac:dyDescent="0.25">
      <c r="B462" s="147"/>
      <c r="C462" s="147"/>
    </row>
    <row r="463" spans="1:24" s="135" customFormat="1" ht="18" customHeight="1" x14ac:dyDescent="0.25">
      <c r="B463" s="147"/>
      <c r="C463" s="147"/>
    </row>
    <row r="464" spans="1:24" s="135" customFormat="1" ht="18" customHeight="1" x14ac:dyDescent="0.25"/>
    <row r="465" spans="2:24" s="180" customFormat="1" ht="18" customHeight="1" x14ac:dyDescent="0.25">
      <c r="B465" s="181" t="s">
        <v>590</v>
      </c>
    </row>
    <row r="466" spans="2:24" s="139" customFormat="1" ht="18" customHeight="1" x14ac:dyDescent="0.25"/>
    <row r="467" spans="2:24" s="139" customFormat="1" ht="18" customHeight="1" x14ac:dyDescent="0.25">
      <c r="B467" s="206" t="s">
        <v>591</v>
      </c>
      <c r="C467" s="206"/>
      <c r="D467" s="179"/>
      <c r="E467" s="140" t="str">
        <f>G4</f>
        <v/>
      </c>
    </row>
    <row r="468" spans="2:24" s="135" customFormat="1" ht="18" customHeight="1" x14ac:dyDescent="0.25">
      <c r="K468" s="153"/>
      <c r="L468" s="153"/>
      <c r="M468" s="153"/>
      <c r="V468" s="207" t="s">
        <v>592</v>
      </c>
      <c r="W468" s="207"/>
      <c r="X468" s="207"/>
    </row>
    <row r="469" spans="2:24" s="135" customFormat="1" ht="18" customHeight="1" x14ac:dyDescent="0.25">
      <c r="C469" s="208" t="s">
        <v>593</v>
      </c>
      <c r="D469" s="208"/>
      <c r="E469" s="208"/>
      <c r="F469" s="208"/>
      <c r="G469" s="208"/>
      <c r="J469" s="147"/>
      <c r="K469" s="154"/>
      <c r="L469" s="154"/>
      <c r="M469" s="154"/>
      <c r="V469" s="145">
        <f t="shared" ref="V469:X477" si="46">IF(E472&gt;=$D$441,1,"")</f>
        <v>1</v>
      </c>
      <c r="W469" s="145">
        <f t="shared" si="46"/>
        <v>1</v>
      </c>
      <c r="X469" s="145">
        <f t="shared" si="46"/>
        <v>1</v>
      </c>
    </row>
    <row r="470" spans="2:24" s="135" customFormat="1" ht="18" customHeight="1" x14ac:dyDescent="0.25">
      <c r="C470" s="208"/>
      <c r="D470" s="208"/>
      <c r="E470" s="208"/>
      <c r="F470" s="208"/>
      <c r="G470" s="208"/>
      <c r="J470" s="147"/>
      <c r="K470" s="154"/>
      <c r="L470" s="154"/>
      <c r="M470" s="154"/>
      <c r="V470" s="145">
        <f t="shared" si="46"/>
        <v>1</v>
      </c>
      <c r="W470" s="145">
        <f t="shared" si="46"/>
        <v>1</v>
      </c>
      <c r="X470" s="145">
        <f t="shared" si="46"/>
        <v>1</v>
      </c>
    </row>
    <row r="471" spans="2:24" s="135" customFormat="1" ht="18" customHeight="1" x14ac:dyDescent="0.25">
      <c r="C471" s="143" t="s">
        <v>444</v>
      </c>
      <c r="D471" s="143" t="s">
        <v>575</v>
      </c>
      <c r="E471" s="143" t="s">
        <v>576</v>
      </c>
      <c r="F471" s="143" t="s">
        <v>577</v>
      </c>
      <c r="G471" s="143" t="s">
        <v>578</v>
      </c>
      <c r="I471" s="135" t="s">
        <v>594</v>
      </c>
      <c r="V471" s="145">
        <f t="shared" si="46"/>
        <v>1</v>
      </c>
      <c r="W471" s="145">
        <f t="shared" si="46"/>
        <v>1</v>
      </c>
      <c r="X471" s="145">
        <f t="shared" si="46"/>
        <v>1</v>
      </c>
    </row>
    <row r="472" spans="2:24" s="135" customFormat="1" ht="18" customHeight="1" x14ac:dyDescent="0.25">
      <c r="C472" s="198" t="s">
        <v>449</v>
      </c>
      <c r="D472" s="177"/>
      <c r="E472" s="178"/>
      <c r="F472" s="178"/>
      <c r="G472" s="146"/>
      <c r="V472" s="145">
        <f t="shared" si="46"/>
        <v>1</v>
      </c>
      <c r="W472" s="145">
        <f t="shared" si="46"/>
        <v>1</v>
      </c>
      <c r="X472" s="145">
        <f t="shared" si="46"/>
        <v>1</v>
      </c>
    </row>
    <row r="473" spans="2:24" s="135" customFormat="1" ht="18" customHeight="1" x14ac:dyDescent="0.25">
      <c r="C473" s="198"/>
      <c r="D473" s="177"/>
      <c r="E473" s="178"/>
      <c r="F473" s="178"/>
      <c r="G473" s="146"/>
      <c r="V473" s="145">
        <f t="shared" si="46"/>
        <v>1</v>
      </c>
      <c r="W473" s="145">
        <f t="shared" si="46"/>
        <v>1</v>
      </c>
      <c r="X473" s="145">
        <f t="shared" si="46"/>
        <v>1</v>
      </c>
    </row>
    <row r="474" spans="2:24" s="135" customFormat="1" ht="18" customHeight="1" x14ac:dyDescent="0.25">
      <c r="C474" s="198"/>
      <c r="D474" s="177"/>
      <c r="E474" s="178"/>
      <c r="F474" s="178"/>
      <c r="G474" s="146"/>
      <c r="V474" s="145">
        <f t="shared" si="46"/>
        <v>1</v>
      </c>
      <c r="W474" s="145">
        <f t="shared" si="46"/>
        <v>1</v>
      </c>
      <c r="X474" s="145">
        <f t="shared" si="46"/>
        <v>1</v>
      </c>
    </row>
    <row r="475" spans="2:24" s="135" customFormat="1" ht="18" customHeight="1" x14ac:dyDescent="0.25">
      <c r="C475" s="198" t="s">
        <v>451</v>
      </c>
      <c r="D475" s="177"/>
      <c r="E475" s="178"/>
      <c r="F475" s="178"/>
      <c r="G475" s="146"/>
      <c r="V475" s="145">
        <f t="shared" si="46"/>
        <v>1</v>
      </c>
      <c r="W475" s="145">
        <f t="shared" si="46"/>
        <v>1</v>
      </c>
      <c r="X475" s="145">
        <f t="shared" si="46"/>
        <v>1</v>
      </c>
    </row>
    <row r="476" spans="2:24" s="135" customFormat="1" ht="18" customHeight="1" x14ac:dyDescent="0.25">
      <c r="C476" s="198"/>
      <c r="D476" s="177"/>
      <c r="E476" s="178"/>
      <c r="F476" s="178"/>
      <c r="G476" s="146"/>
      <c r="V476" s="145">
        <f t="shared" si="46"/>
        <v>1</v>
      </c>
      <c r="W476" s="145">
        <f t="shared" si="46"/>
        <v>1</v>
      </c>
      <c r="X476" s="145">
        <f t="shared" si="46"/>
        <v>1</v>
      </c>
    </row>
    <row r="477" spans="2:24" s="135" customFormat="1" ht="18" customHeight="1" x14ac:dyDescent="0.25">
      <c r="C477" s="198"/>
      <c r="D477" s="177"/>
      <c r="E477" s="178"/>
      <c r="F477" s="178"/>
      <c r="G477" s="146"/>
      <c r="V477" s="145">
        <f t="shared" si="46"/>
        <v>1</v>
      </c>
      <c r="W477" s="145">
        <f t="shared" si="46"/>
        <v>1</v>
      </c>
      <c r="X477" s="145">
        <f t="shared" si="46"/>
        <v>1</v>
      </c>
    </row>
    <row r="478" spans="2:24" s="135" customFormat="1" ht="18" customHeight="1" x14ac:dyDescent="0.25">
      <c r="C478" s="198" t="s">
        <v>452</v>
      </c>
      <c r="D478" s="177"/>
      <c r="E478" s="178"/>
      <c r="F478" s="178"/>
      <c r="G478" s="146"/>
      <c r="S478" s="197" t="s">
        <v>595</v>
      </c>
      <c r="T478" s="197"/>
      <c r="U478" s="145">
        <f>SUM(V469:X477)</f>
        <v>27</v>
      </c>
    </row>
    <row r="479" spans="2:24" s="135" customFormat="1" ht="18" customHeight="1" x14ac:dyDescent="0.25">
      <c r="C479" s="198"/>
      <c r="D479" s="177"/>
      <c r="E479" s="178"/>
      <c r="F479" s="178"/>
      <c r="G479" s="146"/>
      <c r="S479" s="197" t="s">
        <v>596</v>
      </c>
      <c r="T479" s="197"/>
      <c r="U479" s="145" t="e">
        <f>U478/D483*100</f>
        <v>#DIV/0!</v>
      </c>
      <c r="V479" s="135" t="s">
        <v>147</v>
      </c>
    </row>
    <row r="480" spans="2:24" s="135" customFormat="1" ht="18" customHeight="1" x14ac:dyDescent="0.25">
      <c r="C480" s="198"/>
      <c r="D480" s="177"/>
      <c r="E480" s="178"/>
      <c r="F480" s="178"/>
      <c r="G480" s="146"/>
    </row>
    <row r="481" spans="1:12" s="135" customFormat="1" ht="18" customHeight="1" x14ac:dyDescent="0.25">
      <c r="C481" s="155"/>
      <c r="D481" s="147" t="s">
        <v>597</v>
      </c>
      <c r="E481" s="156" t="str">
        <f>IF(ISERROR(_xlfn.STDEV.P(E472:E480)),"",_xlfn.STDEV.P(E472:E480))</f>
        <v/>
      </c>
      <c r="F481" s="156" t="str">
        <f>IF(ISERROR(_xlfn.STDEV.P(F472:F480)),"",_xlfn.STDEV.P(F472:F480))</f>
        <v/>
      </c>
      <c r="G481" s="156" t="str">
        <f>IF(ISERROR(_xlfn.STDEV.P(G472:G480)),"",_xlfn.STDEV.P(G472:G480))</f>
        <v/>
      </c>
    </row>
    <row r="482" spans="1:12" s="135" customFormat="1" ht="18" customHeight="1" x14ac:dyDescent="0.25">
      <c r="C482" s="155"/>
      <c r="E482" s="157" t="e">
        <f>IF(ISERROR(POWER(E481,2)),NA(),POWER(E481,2))</f>
        <v>#N/A</v>
      </c>
      <c r="F482" s="157" t="e">
        <f>IF(ISERROR(POWER(F481,2)),NA(),POWER(F481,2))</f>
        <v>#N/A</v>
      </c>
      <c r="G482" s="157" t="e">
        <f>IF(ISERROR(POWER(G481,2)),NA(),POWER(G481,2))</f>
        <v>#N/A</v>
      </c>
    </row>
    <row r="483" spans="1:12" s="135" customFormat="1" ht="18" customHeight="1" x14ac:dyDescent="0.25">
      <c r="B483" s="195" t="s">
        <v>583</v>
      </c>
      <c r="C483" s="195"/>
      <c r="D483" s="144">
        <f>COUNT(E472:G480)</f>
        <v>0</v>
      </c>
      <c r="F483" s="149" t="s">
        <v>584</v>
      </c>
      <c r="G483" s="158">
        <f>_xlfn.BINOM.INV($D483,0.95,0.05)</f>
        <v>0</v>
      </c>
    </row>
    <row r="484" spans="1:12" s="135" customFormat="1" ht="18" customHeight="1" x14ac:dyDescent="0.25">
      <c r="B484" s="195" t="s">
        <v>598</v>
      </c>
      <c r="C484" s="195"/>
      <c r="D484" s="145" t="e">
        <f>SQRT(SUMIF(E482:G482,"&lt;&gt;#N/A")/COUNTIF(E482:G482,"&lt;&gt;#N/A"))</f>
        <v>#DIV/0!</v>
      </c>
      <c r="F484" s="149" t="s">
        <v>586</v>
      </c>
      <c r="G484" s="150" t="e">
        <f>G483/D483</f>
        <v>#DIV/0!</v>
      </c>
    </row>
    <row r="485" spans="1:12" s="135" customFormat="1" ht="18" customHeight="1" x14ac:dyDescent="0.25">
      <c r="A485" s="136"/>
      <c r="B485" s="136"/>
      <c r="C485" s="151" t="s">
        <v>599</v>
      </c>
      <c r="D485" s="145" t="e">
        <f>D441+G487*D484</f>
        <v>#DIV/0!</v>
      </c>
      <c r="E485" s="135">
        <f>D432</f>
        <v>0</v>
      </c>
    </row>
    <row r="486" spans="1:12" s="135" customFormat="1" ht="18" customHeight="1" x14ac:dyDescent="0.25">
      <c r="A486" s="147"/>
      <c r="B486" s="147"/>
      <c r="C486" s="147"/>
      <c r="D486" s="143" t="str">
        <f>IF(U478&gt;=G483,"Pass","Fail")</f>
        <v>Pass</v>
      </c>
      <c r="F486" s="149" t="s">
        <v>439</v>
      </c>
      <c r="G486" s="146">
        <v>0.05</v>
      </c>
    </row>
    <row r="487" spans="1:12" s="135" customFormat="1" ht="18" customHeight="1" x14ac:dyDescent="0.25">
      <c r="A487" s="147"/>
      <c r="B487" s="147"/>
      <c r="C487" s="147"/>
      <c r="F487" s="149" t="s">
        <v>589</v>
      </c>
      <c r="G487" s="152">
        <f>_xlfn.NORM.INV(1-G486,0,1)/(1-(1/(4*((COUNT(E472:E480)-1)+(COUNT(F472:F480)-1)+(COUNT(G472:G480)-1)))))</f>
        <v>1.5183264248782815</v>
      </c>
    </row>
    <row r="488" spans="1:12" s="135" customFormat="1" ht="18" customHeight="1" x14ac:dyDescent="0.25">
      <c r="A488" s="147"/>
      <c r="B488" s="147"/>
      <c r="C488" s="147"/>
    </row>
    <row r="489" spans="1:12" s="135" customFormat="1" ht="18" customHeight="1" x14ac:dyDescent="0.25"/>
    <row r="490" spans="1:12" s="182" customFormat="1" ht="18" customHeight="1" x14ac:dyDescent="0.25">
      <c r="B490" s="183" t="s">
        <v>600</v>
      </c>
    </row>
    <row r="491" spans="1:12" s="139" customFormat="1" ht="18" customHeight="1" x14ac:dyDescent="0.25"/>
    <row r="492" spans="1:12" s="139" customFormat="1" ht="18" customHeight="1" x14ac:dyDescent="0.25">
      <c r="B492" s="201" t="s">
        <v>601</v>
      </c>
      <c r="C492" s="201"/>
      <c r="D492" s="179"/>
      <c r="E492" s="140" t="str">
        <f>G4</f>
        <v/>
      </c>
    </row>
    <row r="493" spans="1:12" s="139" customFormat="1" ht="18" customHeight="1" x14ac:dyDescent="0.25"/>
    <row r="494" spans="1:12" s="135" customFormat="1" ht="18" customHeight="1" x14ac:dyDescent="0.25"/>
    <row r="495" spans="1:12" s="135" customFormat="1" ht="18" customHeight="1" x14ac:dyDescent="0.25">
      <c r="C495" s="202" t="s">
        <v>602</v>
      </c>
      <c r="D495" s="202"/>
      <c r="E495" s="202"/>
      <c r="F495" s="202"/>
      <c r="G495" s="202"/>
    </row>
    <row r="496" spans="1:12" s="135" customFormat="1" ht="18" customHeight="1" x14ac:dyDescent="0.25">
      <c r="C496" s="202"/>
      <c r="D496" s="202"/>
      <c r="E496" s="202"/>
      <c r="F496" s="202"/>
      <c r="G496" s="202"/>
      <c r="J496" s="203" t="s">
        <v>603</v>
      </c>
      <c r="K496" s="203"/>
      <c r="L496" s="203"/>
    </row>
    <row r="497" spans="2:24" s="135" customFormat="1" ht="18" customHeight="1" x14ac:dyDescent="0.25">
      <c r="C497" s="143" t="s">
        <v>604</v>
      </c>
      <c r="D497" s="143" t="s">
        <v>575</v>
      </c>
      <c r="E497" s="143" t="s">
        <v>576</v>
      </c>
      <c r="F497" s="143" t="s">
        <v>577</v>
      </c>
      <c r="G497" s="143" t="s">
        <v>578</v>
      </c>
      <c r="J497" s="159" t="s">
        <v>576</v>
      </c>
      <c r="K497" s="159" t="s">
        <v>577</v>
      </c>
      <c r="L497" s="159" t="s">
        <v>578</v>
      </c>
      <c r="R497" s="203" t="s">
        <v>605</v>
      </c>
      <c r="S497" s="203"/>
      <c r="T497" s="203"/>
      <c r="V497" s="203" t="s">
        <v>606</v>
      </c>
      <c r="W497" s="203"/>
      <c r="X497" s="203"/>
    </row>
    <row r="498" spans="2:24" s="135" customFormat="1" ht="18" customHeight="1" x14ac:dyDescent="0.25">
      <c r="C498" s="198" t="s">
        <v>449</v>
      </c>
      <c r="D498" s="177"/>
      <c r="E498" s="178"/>
      <c r="F498" s="178"/>
      <c r="G498" s="146"/>
      <c r="J498" s="152" t="e">
        <f t="shared" ref="J498:L506" si="47">IF(V498&lt;100,V498,"")</f>
        <v>#VALUE!</v>
      </c>
      <c r="K498" s="152" t="e">
        <f t="shared" si="47"/>
        <v>#VALUE!</v>
      </c>
      <c r="L498" s="152" t="e">
        <f t="shared" si="47"/>
        <v>#VALUE!</v>
      </c>
      <c r="R498" s="145" t="e">
        <f>IF(AND(J498&lt;D516,J498&gt;0),1,"")</f>
        <v>#VALUE!</v>
      </c>
      <c r="S498" s="145" t="e">
        <f>IF(AND(K498&lt;D516,K498&gt;0),1,"")</f>
        <v>#VALUE!</v>
      </c>
      <c r="T498" s="145" t="e">
        <f>IF(AND(L498&lt;D516,L498&gt;0),1,"")</f>
        <v>#VALUE!</v>
      </c>
      <c r="V498" s="145" t="e">
        <f>SQRT(POWER(((E507-E498)/E507)*100,2))</f>
        <v>#VALUE!</v>
      </c>
      <c r="W498" s="145" t="e">
        <f>SQRT(POWER(((F507-F498)/F507)*100,2))</f>
        <v>#VALUE!</v>
      </c>
      <c r="X498" s="145" t="e">
        <f>SQRT(POWER(((G507-G498)/G507)*100,2))</f>
        <v>#VALUE!</v>
      </c>
    </row>
    <row r="499" spans="2:24" s="135" customFormat="1" ht="18" customHeight="1" x14ac:dyDescent="0.25">
      <c r="C499" s="198"/>
      <c r="D499" s="177"/>
      <c r="E499" s="178"/>
      <c r="F499" s="178"/>
      <c r="G499" s="146"/>
      <c r="J499" s="152" t="e">
        <f t="shared" si="47"/>
        <v>#VALUE!</v>
      </c>
      <c r="K499" s="152" t="e">
        <f t="shared" si="47"/>
        <v>#VALUE!</v>
      </c>
      <c r="L499" s="152" t="e">
        <f t="shared" si="47"/>
        <v>#VALUE!</v>
      </c>
      <c r="R499" s="145" t="e">
        <f>IF(AND(J499&lt;D516,J499&gt;0),1,"")</f>
        <v>#VALUE!</v>
      </c>
      <c r="S499" s="145" t="e">
        <f>IF(AND(K499&lt;D516,K499&gt;0),1,"")</f>
        <v>#VALUE!</v>
      </c>
      <c r="T499" s="145" t="e">
        <f>IF(AND(L499&lt;D516,L499&gt;0),1,"")</f>
        <v>#VALUE!</v>
      </c>
      <c r="V499" s="145" t="e">
        <f>SQRT(POWER(((E507-E499)/E507)*100,2))</f>
        <v>#VALUE!</v>
      </c>
      <c r="W499" s="145" t="e">
        <f>SQRT(POWER(((F507-F499)/F507)*100,2))</f>
        <v>#VALUE!</v>
      </c>
      <c r="X499" s="145" t="e">
        <f>SQRT(POWER(((G507-G499)/G507)*100,2))</f>
        <v>#VALUE!</v>
      </c>
    </row>
    <row r="500" spans="2:24" s="135" customFormat="1" ht="18" customHeight="1" x14ac:dyDescent="0.25">
      <c r="C500" s="198"/>
      <c r="D500" s="177"/>
      <c r="E500" s="178"/>
      <c r="F500" s="178"/>
      <c r="G500" s="146"/>
      <c r="J500" s="152" t="e">
        <f t="shared" si="47"/>
        <v>#VALUE!</v>
      </c>
      <c r="K500" s="152" t="e">
        <f t="shared" si="47"/>
        <v>#VALUE!</v>
      </c>
      <c r="L500" s="152" t="e">
        <f t="shared" si="47"/>
        <v>#VALUE!</v>
      </c>
      <c r="R500" s="145" t="e">
        <f>IF(AND(J500&lt;D516,J500&gt;0),1,"")</f>
        <v>#VALUE!</v>
      </c>
      <c r="S500" s="145" t="e">
        <f>IF(AND(K500&lt;D516,K500&gt;0),1,"")</f>
        <v>#VALUE!</v>
      </c>
      <c r="T500" s="145" t="e">
        <f>IF(AND(L500&lt;D516,L500&gt;0),1,"")</f>
        <v>#VALUE!</v>
      </c>
      <c r="V500" s="145" t="e">
        <f>SQRT(POWER(((E507-E500)/E507)*100,2))</f>
        <v>#VALUE!</v>
      </c>
      <c r="W500" s="145" t="e">
        <f>SQRT(POWER(((F507-F500)/F507)*100,2))</f>
        <v>#VALUE!</v>
      </c>
      <c r="X500" s="145" t="e">
        <f>SQRT(POWER(((G507-G500)/G507)*100,2))</f>
        <v>#VALUE!</v>
      </c>
    </row>
    <row r="501" spans="2:24" s="135" customFormat="1" ht="18" customHeight="1" x14ac:dyDescent="0.25">
      <c r="C501" s="198" t="s">
        <v>451</v>
      </c>
      <c r="D501" s="177"/>
      <c r="E501" s="178"/>
      <c r="F501" s="178"/>
      <c r="G501" s="146"/>
      <c r="J501" s="152" t="e">
        <f t="shared" si="47"/>
        <v>#VALUE!</v>
      </c>
      <c r="K501" s="152" t="e">
        <f t="shared" si="47"/>
        <v>#VALUE!</v>
      </c>
      <c r="L501" s="152" t="e">
        <f t="shared" si="47"/>
        <v>#VALUE!</v>
      </c>
      <c r="R501" s="145" t="e">
        <f>IF(AND(J501&lt;D516,J501&gt;0),1,"")</f>
        <v>#VALUE!</v>
      </c>
      <c r="S501" s="145" t="e">
        <f>IF(AND(K501&lt;D516,K501&gt;0),1,"")</f>
        <v>#VALUE!</v>
      </c>
      <c r="T501" s="145" t="e">
        <f>IF(AND(L501&lt;D516,L501&gt;0),1,"")</f>
        <v>#VALUE!</v>
      </c>
      <c r="V501" s="145" t="e">
        <f>SQRT(POWER(((E507-E501)/E507)*100,2))</f>
        <v>#VALUE!</v>
      </c>
      <c r="W501" s="145" t="e">
        <f>SQRT(POWER(((F507-F501)/F507)*100,2))</f>
        <v>#VALUE!</v>
      </c>
      <c r="X501" s="145" t="e">
        <f>SQRT(POWER(((G507-G501)/G507)*100,2))</f>
        <v>#VALUE!</v>
      </c>
    </row>
    <row r="502" spans="2:24" s="135" customFormat="1" ht="18" customHeight="1" x14ac:dyDescent="0.25">
      <c r="C502" s="198"/>
      <c r="D502" s="177"/>
      <c r="E502" s="178"/>
      <c r="F502" s="178"/>
      <c r="G502" s="146"/>
      <c r="J502" s="152" t="e">
        <f t="shared" si="47"/>
        <v>#VALUE!</v>
      </c>
      <c r="K502" s="152" t="e">
        <f t="shared" si="47"/>
        <v>#VALUE!</v>
      </c>
      <c r="L502" s="152" t="e">
        <f t="shared" si="47"/>
        <v>#VALUE!</v>
      </c>
      <c r="R502" s="145" t="e">
        <f>IF(AND(J502&lt;D516,J502&gt;0),1,"")</f>
        <v>#VALUE!</v>
      </c>
      <c r="S502" s="145" t="e">
        <f>IF(AND(K502&lt;D516,K502&gt;0),1,"")</f>
        <v>#VALUE!</v>
      </c>
      <c r="T502" s="145" t="e">
        <f>IF(AND(L502&lt;D516,L502&gt;0),1,"")</f>
        <v>#VALUE!</v>
      </c>
      <c r="V502" s="145" t="e">
        <f>SQRT(POWER(((E507-E502)/E507)*100,2))</f>
        <v>#VALUE!</v>
      </c>
      <c r="W502" s="145" t="e">
        <f>SQRT(POWER(((F507-F502)/F507)*100,2))</f>
        <v>#VALUE!</v>
      </c>
      <c r="X502" s="145" t="e">
        <f>SQRT(POWER(((G507-G502)/G507)*100,2))</f>
        <v>#VALUE!</v>
      </c>
    </row>
    <row r="503" spans="2:24" s="135" customFormat="1" ht="18" customHeight="1" x14ac:dyDescent="0.25">
      <c r="C503" s="198"/>
      <c r="D503" s="177"/>
      <c r="E503" s="178"/>
      <c r="F503" s="178"/>
      <c r="G503" s="146"/>
      <c r="J503" s="152" t="e">
        <f t="shared" si="47"/>
        <v>#VALUE!</v>
      </c>
      <c r="K503" s="152" t="e">
        <f t="shared" si="47"/>
        <v>#VALUE!</v>
      </c>
      <c r="L503" s="152" t="e">
        <f t="shared" si="47"/>
        <v>#VALUE!</v>
      </c>
      <c r="R503" s="145" t="e">
        <f>IF(AND(J503&lt;D516,J503&gt;0),1,"")</f>
        <v>#VALUE!</v>
      </c>
      <c r="S503" s="145" t="e">
        <f>IF(AND(K503&lt;D516,K503&gt;0),1,"")</f>
        <v>#VALUE!</v>
      </c>
      <c r="T503" s="145" t="e">
        <f>IF(AND(L503&lt;D516,L503&gt;0),1,"")</f>
        <v>#VALUE!</v>
      </c>
      <c r="V503" s="145" t="e">
        <f>SQRT(POWER(((E507-E503)/E507)*100,2))</f>
        <v>#VALUE!</v>
      </c>
      <c r="W503" s="145" t="e">
        <f>SQRT(POWER(((F507-F503)/F507)*100,2))</f>
        <v>#VALUE!</v>
      </c>
      <c r="X503" s="145" t="e">
        <f>SQRT(POWER(((G507-G503)/G507)*100,2))</f>
        <v>#VALUE!</v>
      </c>
    </row>
    <row r="504" spans="2:24" s="135" customFormat="1" ht="18" customHeight="1" x14ac:dyDescent="0.25">
      <c r="C504" s="198" t="s">
        <v>452</v>
      </c>
      <c r="D504" s="177"/>
      <c r="E504" s="178"/>
      <c r="F504" s="178"/>
      <c r="G504" s="146"/>
      <c r="J504" s="152" t="e">
        <f t="shared" si="47"/>
        <v>#VALUE!</v>
      </c>
      <c r="K504" s="152" t="e">
        <f t="shared" si="47"/>
        <v>#VALUE!</v>
      </c>
      <c r="L504" s="152" t="e">
        <f t="shared" si="47"/>
        <v>#VALUE!</v>
      </c>
      <c r="R504" s="145" t="e">
        <f>IF(AND(J504&lt;D516,J504&gt;0),1,"")</f>
        <v>#VALUE!</v>
      </c>
      <c r="S504" s="145" t="e">
        <f>IF(AND(K504&lt;D516,K504&gt;0),1,"")</f>
        <v>#VALUE!</v>
      </c>
      <c r="T504" s="145" t="e">
        <f>IF(AND(L504&lt;D516,L504&gt;0),1,"")</f>
        <v>#VALUE!</v>
      </c>
      <c r="V504" s="145" t="e">
        <f>SQRT(POWER(((E507-E504)/E507)*100,2))</f>
        <v>#VALUE!</v>
      </c>
      <c r="W504" s="145" t="e">
        <f>SQRT(POWER(((F507-F504)/F507)*100,2))</f>
        <v>#VALUE!</v>
      </c>
      <c r="X504" s="145" t="e">
        <f>SQRT(POWER(((G507-G504)/G507)*100,2))</f>
        <v>#VALUE!</v>
      </c>
    </row>
    <row r="505" spans="2:24" s="135" customFormat="1" ht="18" customHeight="1" x14ac:dyDescent="0.25">
      <c r="C505" s="198"/>
      <c r="D505" s="177"/>
      <c r="E505" s="178"/>
      <c r="F505" s="178"/>
      <c r="G505" s="146"/>
      <c r="J505" s="152" t="e">
        <f t="shared" si="47"/>
        <v>#VALUE!</v>
      </c>
      <c r="K505" s="152" t="e">
        <f t="shared" si="47"/>
        <v>#VALUE!</v>
      </c>
      <c r="L505" s="152" t="e">
        <f t="shared" si="47"/>
        <v>#VALUE!</v>
      </c>
      <c r="R505" s="145" t="e">
        <f>IF(AND(J505&lt;D516,J505&gt;0),1,"")</f>
        <v>#VALUE!</v>
      </c>
      <c r="S505" s="145" t="e">
        <f>IF(AND(K505&lt;D516,K505&gt;0),1,"")</f>
        <v>#VALUE!</v>
      </c>
      <c r="T505" s="145" t="e">
        <f>IF(AND(L505&lt;D516,L505&gt;0),1,"")</f>
        <v>#VALUE!</v>
      </c>
      <c r="V505" s="145" t="e">
        <f>SQRT(POWER(((E507-E505)/E507)*100,2))</f>
        <v>#VALUE!</v>
      </c>
      <c r="W505" s="145" t="e">
        <f>SQRT(POWER(((F507-F505)/F507)*100,2))</f>
        <v>#VALUE!</v>
      </c>
      <c r="X505" s="145" t="e">
        <f>SQRT(POWER(((G507-G505)/G507)*100,2))</f>
        <v>#VALUE!</v>
      </c>
    </row>
    <row r="506" spans="2:24" s="135" customFormat="1" ht="18" customHeight="1" x14ac:dyDescent="0.25">
      <c r="C506" s="198"/>
      <c r="D506" s="177"/>
      <c r="E506" s="178"/>
      <c r="F506" s="178"/>
      <c r="G506" s="146"/>
      <c r="J506" s="152" t="e">
        <f t="shared" si="47"/>
        <v>#VALUE!</v>
      </c>
      <c r="K506" s="152" t="e">
        <f t="shared" si="47"/>
        <v>#VALUE!</v>
      </c>
      <c r="L506" s="152" t="e">
        <f t="shared" si="47"/>
        <v>#VALUE!</v>
      </c>
      <c r="R506" s="145" t="e">
        <f>IF(AND(J506&lt;D516,J506&gt;0),1,"")</f>
        <v>#VALUE!</v>
      </c>
      <c r="S506" s="145" t="e">
        <f>IF(AND(K506&lt;D516,K506&gt;0),1,"")</f>
        <v>#VALUE!</v>
      </c>
      <c r="T506" s="145" t="e">
        <f>IF(AND(L506&lt;D516,L506&gt;0),1,"")</f>
        <v>#VALUE!</v>
      </c>
      <c r="V506" s="145" t="e">
        <f>SQRT(POWER(((E507-E506)/E507)*100,2))</f>
        <v>#VALUE!</v>
      </c>
      <c r="W506" s="145" t="e">
        <f>SQRT(POWER(((F507-F506)/F507)*100,2))</f>
        <v>#VALUE!</v>
      </c>
      <c r="X506" s="145" t="e">
        <f>SQRT(POWER(((G507-G506)/G507)*100,2))</f>
        <v>#VALUE!</v>
      </c>
    </row>
    <row r="507" spans="2:24" s="135" customFormat="1" ht="18" customHeight="1" x14ac:dyDescent="0.25">
      <c r="C507" s="199" t="s">
        <v>607</v>
      </c>
      <c r="D507" s="199"/>
      <c r="E507" s="160" t="str">
        <f>IF(ISERROR(AVERAGE(E498:E506)),"",AVERAGE(E498:E506))</f>
        <v/>
      </c>
      <c r="F507" s="160" t="str">
        <f>IF(ISERROR(AVERAGE(F498:F506)),"",AVERAGE(F498:F506))</f>
        <v/>
      </c>
      <c r="G507" s="160" t="str">
        <f>IF(ISERROR(AVERAGE(G498:G506)),"",AVERAGE(G498:G506))</f>
        <v/>
      </c>
      <c r="O507" s="200" t="s">
        <v>608</v>
      </c>
      <c r="P507" s="200"/>
      <c r="Q507" s="145">
        <f>COUNT(R498:T506)</f>
        <v>0</v>
      </c>
    </row>
    <row r="508" spans="2:24" s="135" customFormat="1" ht="18" customHeight="1" x14ac:dyDescent="0.25">
      <c r="D508" s="161" t="s">
        <v>597</v>
      </c>
      <c r="E508" s="160" t="str">
        <f>IF(ISERROR(_xlfn.STDEV.P(E498:E506)),"",_xlfn.STDEV.P(E498:E506))</f>
        <v/>
      </c>
      <c r="F508" s="160" t="str">
        <f>IF(ISERROR(_xlfn.STDEV.P(F498:F506)),"",_xlfn.STDEV.P(F498:F506))</f>
        <v/>
      </c>
      <c r="G508" s="160" t="str">
        <f>IF(ISERROR(_xlfn.STDEV.P(G498:G506)),"",_xlfn.STDEV.P(G498:G506))</f>
        <v/>
      </c>
      <c r="O508" s="200" t="s">
        <v>609</v>
      </c>
      <c r="P508" s="200"/>
      <c r="Q508" s="148" t="e">
        <f>Q507/D512*100</f>
        <v>#DIV/0!</v>
      </c>
    </row>
    <row r="509" spans="2:24" s="135" customFormat="1" ht="18" customHeight="1" x14ac:dyDescent="0.25">
      <c r="D509" s="161" t="s">
        <v>610</v>
      </c>
      <c r="E509" s="162" t="str">
        <f>IF(ISERROR(E508/E507),"",E508/E507)</f>
        <v/>
      </c>
      <c r="F509" s="162" t="str">
        <f>IF(ISERROR(F508/F507),"",F508/F507)</f>
        <v/>
      </c>
      <c r="G509" s="162" t="str">
        <f>IF(ISERROR(G508/G507),"",G508/G507)</f>
        <v/>
      </c>
    </row>
    <row r="510" spans="2:24" s="135" customFormat="1" ht="18" customHeight="1" x14ac:dyDescent="0.25">
      <c r="D510" s="161"/>
      <c r="V510" s="196"/>
      <c r="W510" s="196"/>
      <c r="X510" s="196"/>
    </row>
    <row r="511" spans="2:24" s="135" customFormat="1" ht="18" customHeight="1" x14ac:dyDescent="0.25">
      <c r="D511" s="161"/>
    </row>
    <row r="512" spans="2:24" s="135" customFormat="1" ht="18" customHeight="1" x14ac:dyDescent="0.25">
      <c r="B512" s="195" t="s">
        <v>583</v>
      </c>
      <c r="C512" s="195"/>
      <c r="D512" s="144">
        <f>COUNT(E498:G506)</f>
        <v>0</v>
      </c>
      <c r="F512" s="149" t="s">
        <v>584</v>
      </c>
      <c r="G512" s="145">
        <f>_xlfn.BINOM.INV($D512,0.95,0.05)</f>
        <v>0</v>
      </c>
    </row>
    <row r="513" spans="1:7" s="135" customFormat="1" ht="18" customHeight="1" x14ac:dyDescent="0.25">
      <c r="B513" s="195" t="s">
        <v>611</v>
      </c>
      <c r="C513" s="195"/>
      <c r="D513" s="144">
        <f>COUNT(E509:G509)</f>
        <v>0</v>
      </c>
      <c r="F513" s="149" t="s">
        <v>586</v>
      </c>
      <c r="G513" s="150" t="e">
        <f>G512/D512</f>
        <v>#DIV/0!</v>
      </c>
    </row>
    <row r="514" spans="1:7" s="135" customFormat="1" ht="18" customHeight="1" x14ac:dyDescent="0.25">
      <c r="A514" s="195" t="s">
        <v>612</v>
      </c>
      <c r="B514" s="195"/>
      <c r="C514" s="195"/>
      <c r="D514" s="156" t="e">
        <f>AVERAGE(E507:G507)</f>
        <v>#DIV/0!</v>
      </c>
    </row>
    <row r="515" spans="1:7" s="135" customFormat="1" ht="18" customHeight="1" x14ac:dyDescent="0.25">
      <c r="A515" s="196"/>
      <c r="B515" s="196"/>
      <c r="C515" s="196"/>
      <c r="D515" s="136"/>
      <c r="F515" s="149" t="s">
        <v>439</v>
      </c>
      <c r="G515" s="146">
        <v>0.05</v>
      </c>
    </row>
    <row r="516" spans="1:7" s="135" customFormat="1" ht="18" customHeight="1" x14ac:dyDescent="0.25">
      <c r="B516" s="197" t="s">
        <v>613</v>
      </c>
      <c r="C516" s="197"/>
      <c r="D516" s="163" t="str">
        <f>IF(ISNUMBER(G358),G358*100,"")</f>
        <v/>
      </c>
      <c r="E516" s="135" t="s">
        <v>147</v>
      </c>
      <c r="F516" s="149" t="s">
        <v>589</v>
      </c>
      <c r="G516" s="152">
        <f>_xlfn.NORM.INV(1-G515,0,1)/(1-(1/(4*((COUNT(E498:E506)-1)+(COUNT(F498:F506)-1)+(COUNT(G498:G506)-1)))))</f>
        <v>1.5183264248782815</v>
      </c>
    </row>
    <row r="517" spans="1:7" s="135" customFormat="1" ht="18" customHeight="1" x14ac:dyDescent="0.25">
      <c r="D517" s="143" t="str">
        <f>IF(Q507&gt;=G512,"Pass","Fail")</f>
        <v>Pass</v>
      </c>
    </row>
    <row r="518" spans="1:7" s="135" customFormat="1" ht="18" customHeight="1" x14ac:dyDescent="0.25"/>
  </sheetData>
  <protectedRanges>
    <protectedRange sqref="J61:L160" name="Apply Inclusion and Exclusion Criteria"/>
  </protectedRanges>
  <dataConsolidate/>
  <mergeCells count="336">
    <mergeCell ref="B16:E16"/>
    <mergeCell ref="B19:J25"/>
    <mergeCell ref="B28:J30"/>
    <mergeCell ref="B33:E33"/>
    <mergeCell ref="I33:J33"/>
    <mergeCell ref="B36:C36"/>
    <mergeCell ref="B4:E4"/>
    <mergeCell ref="B6:C6"/>
    <mergeCell ref="B8:H8"/>
    <mergeCell ref="B10:H10"/>
    <mergeCell ref="B12:E12"/>
    <mergeCell ref="B14:E14"/>
    <mergeCell ref="B56:C56"/>
    <mergeCell ref="D56:F56"/>
    <mergeCell ref="G56:I56"/>
    <mergeCell ref="D59:F59"/>
    <mergeCell ref="G59:I59"/>
    <mergeCell ref="B60:C60"/>
    <mergeCell ref="B41:H41"/>
    <mergeCell ref="B43:H43"/>
    <mergeCell ref="B45:E45"/>
    <mergeCell ref="D54:F54"/>
    <mergeCell ref="G54:I54"/>
    <mergeCell ref="B55:C55"/>
    <mergeCell ref="D55:F55"/>
    <mergeCell ref="G55:I55"/>
    <mergeCell ref="B64:C64"/>
    <mergeCell ref="K64:M64"/>
    <mergeCell ref="B65:C65"/>
    <mergeCell ref="K65:M65"/>
    <mergeCell ref="B66:C66"/>
    <mergeCell ref="K66:M66"/>
    <mergeCell ref="K60:M60"/>
    <mergeCell ref="B61:C61"/>
    <mergeCell ref="K61:M61"/>
    <mergeCell ref="B62:C62"/>
    <mergeCell ref="K62:M62"/>
    <mergeCell ref="B63:C63"/>
    <mergeCell ref="K63:M63"/>
    <mergeCell ref="B70:C70"/>
    <mergeCell ref="K70:M70"/>
    <mergeCell ref="B71:C71"/>
    <mergeCell ref="K71:M71"/>
    <mergeCell ref="B72:C72"/>
    <mergeCell ref="K72:M72"/>
    <mergeCell ref="B67:C67"/>
    <mergeCell ref="K67:M67"/>
    <mergeCell ref="B68:C68"/>
    <mergeCell ref="K68:M68"/>
    <mergeCell ref="B69:C69"/>
    <mergeCell ref="K69:M69"/>
    <mergeCell ref="B76:C76"/>
    <mergeCell ref="K76:M76"/>
    <mergeCell ref="B77:C77"/>
    <mergeCell ref="K77:M77"/>
    <mergeCell ref="B78:C78"/>
    <mergeCell ref="K78:M78"/>
    <mergeCell ref="B73:C73"/>
    <mergeCell ref="K73:M73"/>
    <mergeCell ref="B74:C74"/>
    <mergeCell ref="K74:M74"/>
    <mergeCell ref="B75:C75"/>
    <mergeCell ref="K75:M75"/>
    <mergeCell ref="B82:C82"/>
    <mergeCell ref="K82:M82"/>
    <mergeCell ref="B83:C83"/>
    <mergeCell ref="K83:M83"/>
    <mergeCell ref="B84:C84"/>
    <mergeCell ref="K84:M84"/>
    <mergeCell ref="B79:C79"/>
    <mergeCell ref="K79:M79"/>
    <mergeCell ref="B80:C80"/>
    <mergeCell ref="K80:M80"/>
    <mergeCell ref="B81:C81"/>
    <mergeCell ref="K81:M81"/>
    <mergeCell ref="B88:C88"/>
    <mergeCell ref="K88:M88"/>
    <mergeCell ref="B89:C89"/>
    <mergeCell ref="K89:M89"/>
    <mergeCell ref="B90:C90"/>
    <mergeCell ref="K90:M90"/>
    <mergeCell ref="B85:C85"/>
    <mergeCell ref="K85:M85"/>
    <mergeCell ref="B86:C86"/>
    <mergeCell ref="K86:M86"/>
    <mergeCell ref="B87:C87"/>
    <mergeCell ref="K87:M87"/>
    <mergeCell ref="B94:C94"/>
    <mergeCell ref="K94:M94"/>
    <mergeCell ref="B95:C95"/>
    <mergeCell ref="K95:M95"/>
    <mergeCell ref="B96:C96"/>
    <mergeCell ref="K96:M96"/>
    <mergeCell ref="B91:C91"/>
    <mergeCell ref="K91:M91"/>
    <mergeCell ref="B92:C92"/>
    <mergeCell ref="K92:M92"/>
    <mergeCell ref="B93:C93"/>
    <mergeCell ref="K93:M93"/>
    <mergeCell ref="B100:C100"/>
    <mergeCell ref="K100:M100"/>
    <mergeCell ref="B101:C101"/>
    <mergeCell ref="K101:M101"/>
    <mergeCell ref="B102:C102"/>
    <mergeCell ref="K102:M102"/>
    <mergeCell ref="B97:C97"/>
    <mergeCell ref="K97:M97"/>
    <mergeCell ref="B98:C98"/>
    <mergeCell ref="K98:M98"/>
    <mergeCell ref="B99:C99"/>
    <mergeCell ref="K99:M99"/>
    <mergeCell ref="B106:C106"/>
    <mergeCell ref="K106:M106"/>
    <mergeCell ref="B107:C107"/>
    <mergeCell ref="K107:M107"/>
    <mergeCell ref="B108:C108"/>
    <mergeCell ref="K108:M108"/>
    <mergeCell ref="B103:C103"/>
    <mergeCell ref="K103:M103"/>
    <mergeCell ref="B104:C104"/>
    <mergeCell ref="K104:M104"/>
    <mergeCell ref="B105:C105"/>
    <mergeCell ref="K105:M105"/>
    <mergeCell ref="B112:C112"/>
    <mergeCell ref="K112:M112"/>
    <mergeCell ref="B113:C113"/>
    <mergeCell ref="K113:M113"/>
    <mergeCell ref="B114:C114"/>
    <mergeCell ref="K114:M114"/>
    <mergeCell ref="B109:C109"/>
    <mergeCell ref="K109:M109"/>
    <mergeCell ref="B110:C110"/>
    <mergeCell ref="K110:M110"/>
    <mergeCell ref="B111:C111"/>
    <mergeCell ref="K111:M111"/>
    <mergeCell ref="B118:C118"/>
    <mergeCell ref="K118:M118"/>
    <mergeCell ref="B119:C119"/>
    <mergeCell ref="K119:M119"/>
    <mergeCell ref="B120:C120"/>
    <mergeCell ref="K120:M120"/>
    <mergeCell ref="B115:C115"/>
    <mergeCell ref="K115:M115"/>
    <mergeCell ref="B116:C116"/>
    <mergeCell ref="K116:M116"/>
    <mergeCell ref="B117:C117"/>
    <mergeCell ref="K117:M117"/>
    <mergeCell ref="B124:C124"/>
    <mergeCell ref="K124:M124"/>
    <mergeCell ref="B125:C125"/>
    <mergeCell ref="K125:M125"/>
    <mergeCell ref="B126:C126"/>
    <mergeCell ref="K126:M126"/>
    <mergeCell ref="B121:C121"/>
    <mergeCell ref="K121:M121"/>
    <mergeCell ref="B122:C122"/>
    <mergeCell ref="K122:M122"/>
    <mergeCell ref="B123:C123"/>
    <mergeCell ref="K123:M123"/>
    <mergeCell ref="B130:C130"/>
    <mergeCell ref="K130:M130"/>
    <mergeCell ref="B131:C131"/>
    <mergeCell ref="K131:M131"/>
    <mergeCell ref="B132:C132"/>
    <mergeCell ref="K132:M132"/>
    <mergeCell ref="B127:C127"/>
    <mergeCell ref="K127:M127"/>
    <mergeCell ref="B128:C128"/>
    <mergeCell ref="K128:M128"/>
    <mergeCell ref="B129:C129"/>
    <mergeCell ref="K129:M129"/>
    <mergeCell ref="B136:C136"/>
    <mergeCell ref="K136:M136"/>
    <mergeCell ref="B137:C137"/>
    <mergeCell ref="K137:M137"/>
    <mergeCell ref="B138:C138"/>
    <mergeCell ref="K138:M138"/>
    <mergeCell ref="B133:C133"/>
    <mergeCell ref="K133:M133"/>
    <mergeCell ref="B134:C134"/>
    <mergeCell ref="K134:M134"/>
    <mergeCell ref="B135:C135"/>
    <mergeCell ref="K135:M135"/>
    <mergeCell ref="B142:C142"/>
    <mergeCell ref="K142:M142"/>
    <mergeCell ref="B143:C143"/>
    <mergeCell ref="K143:M143"/>
    <mergeCell ref="B144:C144"/>
    <mergeCell ref="K144:M144"/>
    <mergeCell ref="B139:C139"/>
    <mergeCell ref="K139:M139"/>
    <mergeCell ref="B140:C140"/>
    <mergeCell ref="K140:M140"/>
    <mergeCell ref="B141:C141"/>
    <mergeCell ref="K141:M141"/>
    <mergeCell ref="B148:C148"/>
    <mergeCell ref="K148:M148"/>
    <mergeCell ref="B149:C149"/>
    <mergeCell ref="K149:M149"/>
    <mergeCell ref="B150:C150"/>
    <mergeCell ref="K150:M150"/>
    <mergeCell ref="B145:C145"/>
    <mergeCell ref="K145:M145"/>
    <mergeCell ref="B146:C146"/>
    <mergeCell ref="K146:M146"/>
    <mergeCell ref="B147:C147"/>
    <mergeCell ref="K147:M147"/>
    <mergeCell ref="B154:C154"/>
    <mergeCell ref="K154:M154"/>
    <mergeCell ref="B155:C155"/>
    <mergeCell ref="K155:M155"/>
    <mergeCell ref="B156:C156"/>
    <mergeCell ref="K156:M156"/>
    <mergeCell ref="B151:C151"/>
    <mergeCell ref="K151:M151"/>
    <mergeCell ref="B152:C152"/>
    <mergeCell ref="K152:M152"/>
    <mergeCell ref="B153:C153"/>
    <mergeCell ref="K153:M153"/>
    <mergeCell ref="B160:C160"/>
    <mergeCell ref="K160:M160"/>
    <mergeCell ref="B198:H198"/>
    <mergeCell ref="B200:C200"/>
    <mergeCell ref="B202:E202"/>
    <mergeCell ref="B204:E204"/>
    <mergeCell ref="B157:C157"/>
    <mergeCell ref="K157:M157"/>
    <mergeCell ref="B158:C158"/>
    <mergeCell ref="K158:M158"/>
    <mergeCell ref="B159:C159"/>
    <mergeCell ref="K159:M159"/>
    <mergeCell ref="G210:G212"/>
    <mergeCell ref="H210:H212"/>
    <mergeCell ref="B238:H238"/>
    <mergeCell ref="B240:C240"/>
    <mergeCell ref="B242:E242"/>
    <mergeCell ref="B244:E244"/>
    <mergeCell ref="B206:E206"/>
    <mergeCell ref="B210:B212"/>
    <mergeCell ref="C210:C212"/>
    <mergeCell ref="D210:D212"/>
    <mergeCell ref="E210:E212"/>
    <mergeCell ref="F210:F212"/>
    <mergeCell ref="G250:G251"/>
    <mergeCell ref="H250:H251"/>
    <mergeCell ref="I250:I251"/>
    <mergeCell ref="B284:D284"/>
    <mergeCell ref="D285:F285"/>
    <mergeCell ref="B286:D286"/>
    <mergeCell ref="B246:E246"/>
    <mergeCell ref="B250:B251"/>
    <mergeCell ref="C250:C251"/>
    <mergeCell ref="D250:D251"/>
    <mergeCell ref="E250:E251"/>
    <mergeCell ref="F250:F251"/>
    <mergeCell ref="B441:C441"/>
    <mergeCell ref="C443:G444"/>
    <mergeCell ref="J444:Q444"/>
    <mergeCell ref="V444:X444"/>
    <mergeCell ref="J445:M445"/>
    <mergeCell ref="N445:Q445"/>
    <mergeCell ref="B288:D288"/>
    <mergeCell ref="B290:D290"/>
    <mergeCell ref="B373:M376"/>
    <mergeCell ref="B435:C435"/>
    <mergeCell ref="E435:F435"/>
    <mergeCell ref="B437:C437"/>
    <mergeCell ref="E437:F437"/>
    <mergeCell ref="C449:C451"/>
    <mergeCell ref="J449:M449"/>
    <mergeCell ref="N449:Q449"/>
    <mergeCell ref="J450:M450"/>
    <mergeCell ref="N450:Q450"/>
    <mergeCell ref="J451:M451"/>
    <mergeCell ref="N451:Q451"/>
    <mergeCell ref="C446:C448"/>
    <mergeCell ref="J446:M446"/>
    <mergeCell ref="N446:Q446"/>
    <mergeCell ref="J447:M447"/>
    <mergeCell ref="N447:Q447"/>
    <mergeCell ref="J448:M448"/>
    <mergeCell ref="N448:Q448"/>
    <mergeCell ref="B457:C457"/>
    <mergeCell ref="J457:M457"/>
    <mergeCell ref="N457:Q457"/>
    <mergeCell ref="B458:C458"/>
    <mergeCell ref="J458:M458"/>
    <mergeCell ref="N458:Q458"/>
    <mergeCell ref="S454:T454"/>
    <mergeCell ref="J455:M455"/>
    <mergeCell ref="N455:Q455"/>
    <mergeCell ref="S455:T455"/>
    <mergeCell ref="J456:M456"/>
    <mergeCell ref="N456:Q456"/>
    <mergeCell ref="C452:C454"/>
    <mergeCell ref="J452:M452"/>
    <mergeCell ref="N452:Q452"/>
    <mergeCell ref="J453:M453"/>
    <mergeCell ref="N453:Q453"/>
    <mergeCell ref="J454:M454"/>
    <mergeCell ref="N454:Q454"/>
    <mergeCell ref="J461:M461"/>
    <mergeCell ref="N461:Q461"/>
    <mergeCell ref="B467:C467"/>
    <mergeCell ref="V468:X468"/>
    <mergeCell ref="C469:G470"/>
    <mergeCell ref="C472:C474"/>
    <mergeCell ref="B459:C459"/>
    <mergeCell ref="J459:M459"/>
    <mergeCell ref="N459:Q459"/>
    <mergeCell ref="A460:C460"/>
    <mergeCell ref="J460:M460"/>
    <mergeCell ref="N460:Q460"/>
    <mergeCell ref="V510:X510"/>
    <mergeCell ref="B492:C492"/>
    <mergeCell ref="C495:G496"/>
    <mergeCell ref="J496:L496"/>
    <mergeCell ref="R497:T497"/>
    <mergeCell ref="V497:X497"/>
    <mergeCell ref="C498:C500"/>
    <mergeCell ref="C475:C477"/>
    <mergeCell ref="C478:C480"/>
    <mergeCell ref="S478:T478"/>
    <mergeCell ref="S479:T479"/>
    <mergeCell ref="B483:C483"/>
    <mergeCell ref="B484:C484"/>
    <mergeCell ref="B512:C512"/>
    <mergeCell ref="B513:C513"/>
    <mergeCell ref="A514:C514"/>
    <mergeCell ref="A515:C515"/>
    <mergeCell ref="B516:C516"/>
    <mergeCell ref="C501:C503"/>
    <mergeCell ref="C504:C506"/>
    <mergeCell ref="C507:D507"/>
    <mergeCell ref="O507:P507"/>
    <mergeCell ref="O508:P508"/>
  </mergeCells>
  <conditionalFormatting sqref="D169">
    <cfRule type="cellIs" dxfId="71" priority="28" operator="greaterThan">
      <formula>1.1</formula>
    </cfRule>
    <cfRule type="cellIs" dxfId="70" priority="27" operator="lessThan">
      <formula>0.9</formula>
    </cfRule>
    <cfRule type="cellIs" dxfId="69" priority="26" operator="between">
      <formula>0.9</formula>
      <formula>1.1</formula>
    </cfRule>
  </conditionalFormatting>
  <conditionalFormatting sqref="D186">
    <cfRule type="cellIs" dxfId="68" priority="1" operator="greaterThan">
      <formula>0.85</formula>
    </cfRule>
  </conditionalFormatting>
  <conditionalFormatting sqref="D355:D356">
    <cfRule type="containsErrors" dxfId="67" priority="14">
      <formula>ISERROR(D355)</formula>
    </cfRule>
  </conditionalFormatting>
  <conditionalFormatting sqref="D426">
    <cfRule type="cellIs" dxfId="66" priority="8" operator="equal">
      <formula>"Fail"</formula>
    </cfRule>
    <cfRule type="cellIs" dxfId="65" priority="9" operator="equal">
      <formula>"Pass"</formula>
    </cfRule>
  </conditionalFormatting>
  <conditionalFormatting sqref="D461">
    <cfRule type="expression" dxfId="64" priority="4">
      <formula>#REF!="pass"</formula>
    </cfRule>
    <cfRule type="expression" dxfId="63" priority="5">
      <formula>#REF!="fail"</formula>
    </cfRule>
  </conditionalFormatting>
  <conditionalFormatting sqref="D486">
    <cfRule type="expression" dxfId="62" priority="2">
      <formula>$D$40="Fail"</formula>
    </cfRule>
    <cfRule type="expression" dxfId="61" priority="3">
      <formula>$D$40="Pass"</formula>
    </cfRule>
  </conditionalFormatting>
  <conditionalFormatting sqref="D517">
    <cfRule type="expression" dxfId="60" priority="35">
      <formula>#REF!="Fail"</formula>
    </cfRule>
    <cfRule type="expression" dxfId="59" priority="36">
      <formula>#REF!="Pass"</formula>
    </cfRule>
  </conditionalFormatting>
  <conditionalFormatting sqref="D342:G343">
    <cfRule type="containsText" dxfId="58" priority="18" operator="containsText" text="Pass">
      <formula>NOT(ISERROR(SEARCH("Pass",D342)))</formula>
    </cfRule>
    <cfRule type="containsText" dxfId="57" priority="19" operator="containsText" text="Fail">
      <formula>NOT(ISERROR(SEARCH("Fail",D342)))</formula>
    </cfRule>
  </conditionalFormatting>
  <conditionalFormatting sqref="D351:G351">
    <cfRule type="containsText" dxfId="56" priority="15" operator="containsText" text="Good">
      <formula>NOT(ISERROR(SEARCH("Good",D351)))</formula>
    </cfRule>
    <cfRule type="containsText" dxfId="55" priority="17" operator="containsText" text="Poor">
      <formula>NOT(ISERROR(SEARCH("Poor",D351)))</formula>
    </cfRule>
    <cfRule type="containsText" dxfId="54" priority="16" operator="containsText" text="Acceptable">
      <formula>NOT(ISERROR(SEARCH("Acceptable",D351)))</formula>
    </cfRule>
  </conditionalFormatting>
  <conditionalFormatting sqref="D362:G364">
    <cfRule type="containsErrors" dxfId="53" priority="13">
      <formula>ISERROR(D362)</formula>
    </cfRule>
  </conditionalFormatting>
  <conditionalFormatting sqref="D366:G367">
    <cfRule type="containsText" dxfId="52" priority="10" operator="containsText" text="Pass">
      <formula>NOT(ISERROR(SEARCH("Pass",D366)))</formula>
    </cfRule>
    <cfRule type="containsText" dxfId="51" priority="11" operator="containsText" text="Fail">
      <formula>NOT(ISERROR(SEARCH("Fail",D366)))</formula>
    </cfRule>
    <cfRule type="containsErrors" dxfId="50" priority="12">
      <formula>ISERROR(D366)</formula>
    </cfRule>
  </conditionalFormatting>
  <conditionalFormatting sqref="H213:H220">
    <cfRule type="cellIs" dxfId="49" priority="22" operator="equal">
      <formula>"Pass"</formula>
    </cfRule>
    <cfRule type="cellIs" dxfId="48" priority="23" operator="equal">
      <formula>"Fail"</formula>
    </cfRule>
  </conditionalFormatting>
  <conditionalFormatting sqref="H226">
    <cfRule type="cellIs" dxfId="47" priority="24" operator="equal">
      <formula>"PASS"</formula>
    </cfRule>
    <cfRule type="cellIs" dxfId="46" priority="25" operator="equal">
      <formula>"CHECK"</formula>
    </cfRule>
  </conditionalFormatting>
  <conditionalFormatting sqref="H252:I259">
    <cfRule type="cellIs" dxfId="45" priority="21" operator="equal">
      <formula>"Pass"</formula>
    </cfRule>
    <cfRule type="cellIs" dxfId="44" priority="20" operator="equal">
      <formula>"Fail"</formula>
    </cfRule>
  </conditionalFormatting>
  <conditionalFormatting sqref="I426">
    <cfRule type="cellIs" dxfId="43" priority="6" operator="equal">
      <formula>"Fail"</formula>
    </cfRule>
    <cfRule type="cellIs" dxfId="42" priority="7" operator="equal">
      <formula>"Pass"</formula>
    </cfRule>
  </conditionalFormatting>
  <conditionalFormatting sqref="J163">
    <cfRule type="cellIs" dxfId="41" priority="31" operator="lessThan">
      <formula>0.95</formula>
    </cfRule>
    <cfRule type="cellIs" dxfId="40" priority="32" operator="greaterThanOrEqual">
      <formula>0.95</formula>
    </cfRule>
  </conditionalFormatting>
  <conditionalFormatting sqref="J164">
    <cfRule type="cellIs" dxfId="39" priority="29" operator="lessThan">
      <formula>0.9025</formula>
    </cfRule>
    <cfRule type="cellIs" dxfId="38" priority="30" operator="greaterThanOrEqual">
      <formula>0.9025</formula>
    </cfRule>
  </conditionalFormatting>
  <conditionalFormatting sqref="J61:K160">
    <cfRule type="cellIs" dxfId="37" priority="33" operator="equal">
      <formula>"EXCLUDE"</formula>
    </cfRule>
    <cfRule type="cellIs" dxfId="36" priority="34" operator="equal">
      <formula>"INCLUDE"</formula>
    </cfRule>
  </conditionalFormatting>
  <dataValidations count="10">
    <dataValidation allowBlank="1" showErrorMessage="1" sqref="B10:H10 B12 F12:H12" xr:uid="{57CBD33A-7188-4BB0-A836-D8A4A7A5BE8F}">
      <formula1>0</formula1>
      <formula2>0</formula2>
    </dataValidation>
    <dataValidation allowBlank="1" showInputMessage="1" showErrorMessage="1" promptTitle="Instrument" prompt="Identity and location of instrument. Use serial number if available." sqref="B8:H8" xr:uid="{829C270E-C484-4303-8CCF-5BE1BDD7A5D0}">
      <formula1>0</formula1>
      <formula2>0</formula2>
    </dataValidation>
    <dataValidation allowBlank="1" showErrorMessage="1" promptTitle="Measureand" prompt="Enter analyte, type of measurement and matrix. Example 1: Sodium concentration in serum or plasma. Example 2: ALT activity in serum or plasma" sqref="G47:H47" xr:uid="{276B4576-1F83-4553-AE9E-1CB159C5CA76}">
      <formula1>0</formula1>
      <formula2>0</formula2>
    </dataValidation>
    <dataValidation allowBlank="1" showErrorMessage="1" prompt="Enter required information" sqref="E46:G46" xr:uid="{435F0F1A-29D4-496D-9EC9-E7133CC53E60}">
      <formula1>0</formula1>
      <formula2>0</formula2>
    </dataValidation>
    <dataValidation allowBlank="1" showErrorMessage="1" promptTitle="Instrument Information" prompt="Identity and location of instrument. Use serial number if available." sqref="F45:G45" xr:uid="{CC3D40CC-0311-47E7-8C3C-0FACC9B29FFC}">
      <formula1>0</formula1>
      <formula2>0</formula2>
    </dataValidation>
    <dataValidation allowBlank="1" showInputMessage="1" showErrorMessage="1" promptTitle="Measurand" prompt="Enter analyte, type of measurement and matrix. Example 1: Sodium concentration in serum or plasma. Example 2: ALT activity in serum or plasma" sqref="B11:H11" xr:uid="{B64F47EB-7E22-4D12-A965-8264FBFE1EB8}">
      <formula1>0</formula1>
      <formula2>0</formula2>
    </dataValidation>
    <dataValidation allowBlank="1" showInputMessage="1" showErrorMessage="1" promptTitle="Instrument Information" prompt="Identity and location of instrument. Use serial number if available." sqref="B41" xr:uid="{5B759BC0-5D79-4024-9877-FC0DC5FB6AAD}">
      <formula1>0</formula1>
      <formula2>0</formula2>
    </dataValidation>
    <dataValidation allowBlank="1" showInputMessage="1" showErrorMessage="1" prompt="Enter required information" sqref="B42:B45 D48" xr:uid="{0C6C0EFD-84B3-4215-8EA8-71FE5500ADE9}">
      <formula1>0</formula1>
      <formula2>0</formula2>
    </dataValidation>
    <dataValidation type="list" allowBlank="1" showInputMessage="1" showErrorMessage="1" sqref="D357" xr:uid="{D7C503E0-B147-4920-B4F0-AB2AE91CC66A}">
      <formula1>"Optimal,Desirable,Minimal"</formula1>
    </dataValidation>
    <dataValidation type="list" allowBlank="1" showInputMessage="1" showErrorMessage="1" sqref="J61:J160" xr:uid="{48A0A079-0387-4977-AE0B-208CDB0DD5CB}">
      <formula1>"INCLUDE,EXCLUDE"</formula1>
    </dataValidation>
  </dataValidations>
  <hyperlinks>
    <hyperlink ref="J36" r:id="rId1" xr:uid="{8D4A77AA-044B-4704-A7A0-0242830CE947}"/>
  </hyperlinks>
  <pageMargins left="0.7" right="0.7" top="0.75" bottom="0.75" header="0.511811023622047" footer="0.511811023622047"/>
  <pageSetup paperSize="9" orientation="portrait" horizontalDpi="300" verticalDpi="300" r:id="rId2"/>
  <drawing r:id="rId3"/>
  <legacy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323F843-F590-4D47-8395-8AA69AB7F0FF}">
          <x14:formula1>
            <xm:f>Tables!$F$10:$F$19</xm:f>
          </x14:formula1>
          <xm:sqref>B6:C6</xm:sqref>
        </x14:dataValidation>
        <x14:dataValidation type="list" allowBlank="1" showInputMessage="1" showErrorMessage="1" xr:uid="{91EBED85-A794-4B54-8583-CEF773F4F391}">
          <x14:formula1>
            <xm:f>Tables!$B:$B</xm:f>
          </x14:formula1>
          <xm:sqref>B4:E4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A527-B60A-44C6-BD79-F0241A4903B1}">
  <dimension ref="A1:BC518"/>
  <sheetViews>
    <sheetView zoomScale="80" zoomScaleNormal="80" workbookViewId="0">
      <selection activeCell="B4" sqref="B4:E4"/>
    </sheetView>
  </sheetViews>
  <sheetFormatPr defaultColWidth="9.140625" defaultRowHeight="18" customHeight="1" x14ac:dyDescent="0.25"/>
  <cols>
    <col min="1" max="30" width="11.28515625" style="15" customWidth="1"/>
    <col min="31" max="16384" width="9.140625" style="15"/>
  </cols>
  <sheetData>
    <row r="1" spans="1:44" s="7" customFormat="1" ht="18" customHeight="1" x14ac:dyDescent="0.25">
      <c r="A1" s="5"/>
      <c r="B1" s="6" t="s">
        <v>328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3" spans="1:44" ht="18" customHeight="1" x14ac:dyDescent="0.25">
      <c r="B3" s="16" t="s">
        <v>329</v>
      </c>
      <c r="G3" s="17" t="s">
        <v>313</v>
      </c>
      <c r="H3" s="18"/>
      <c r="J3" s="19" t="s">
        <v>311</v>
      </c>
    </row>
    <row r="4" spans="1:44" ht="18" customHeight="1" x14ac:dyDescent="0.25">
      <c r="A4" s="20"/>
      <c r="B4" s="212" t="s">
        <v>99</v>
      </c>
      <c r="C4" s="212"/>
      <c r="D4" s="212"/>
      <c r="E4" s="212"/>
      <c r="G4" s="21" t="str">
        <f>IF(ISBLANK(B4),"",VLOOKUP(B4,APS_Table[],3))</f>
        <v>ng/L</v>
      </c>
      <c r="H4" s="22"/>
      <c r="J4" s="23">
        <f>IF(ISNA(VLOOKUP($B$4,APS_Table[],6,FALSE())),"",VLOOKUP($B$4,APS_Table[],6,FALSE()))</f>
        <v>10</v>
      </c>
      <c r="W4" s="24"/>
      <c r="X4" s="24"/>
      <c r="Y4" s="25"/>
      <c r="AQ4" s="24"/>
      <c r="AR4" s="24"/>
    </row>
    <row r="5" spans="1:44" ht="18" customHeight="1" x14ac:dyDescent="0.25">
      <c r="A5" s="20"/>
      <c r="B5" s="16" t="s">
        <v>322</v>
      </c>
      <c r="H5" s="22"/>
      <c r="J5" s="17" t="s">
        <v>312</v>
      </c>
      <c r="W5" s="24"/>
      <c r="X5" s="24"/>
      <c r="Y5" s="25"/>
      <c r="AQ5" s="24"/>
      <c r="AR5" s="24"/>
    </row>
    <row r="6" spans="1:44" ht="18" customHeight="1" x14ac:dyDescent="0.25">
      <c r="A6" s="20"/>
      <c r="B6" s="251" t="s">
        <v>63</v>
      </c>
      <c r="C6" s="253"/>
      <c r="D6" s="26"/>
      <c r="E6" s="26"/>
      <c r="G6" s="20"/>
      <c r="H6" s="22"/>
      <c r="J6" s="27">
        <f>IF(ISNA(VLOOKUP($B$4,APS_Table[],7,FALSE())),"",VLOOKUP($B$4,APS_Table[],7,FALSE()))</f>
        <v>0.1</v>
      </c>
      <c r="K6" s="24"/>
      <c r="W6" s="24"/>
      <c r="X6" s="24"/>
      <c r="Y6" s="25"/>
      <c r="AQ6" s="24"/>
      <c r="AR6" s="24"/>
    </row>
    <row r="7" spans="1:44" ht="18" customHeight="1" x14ac:dyDescent="0.25">
      <c r="A7" s="20"/>
      <c r="B7" s="16" t="s">
        <v>330</v>
      </c>
      <c r="G7" s="20"/>
      <c r="H7" s="26"/>
      <c r="I7" s="24"/>
      <c r="J7" s="28" t="s">
        <v>331</v>
      </c>
      <c r="K7" s="24"/>
      <c r="W7" s="24"/>
      <c r="X7" s="24"/>
      <c r="Y7" s="25"/>
      <c r="AQ7" s="24"/>
      <c r="AR7" s="24"/>
    </row>
    <row r="8" spans="1:44" ht="18" customHeight="1" x14ac:dyDescent="0.25">
      <c r="A8" s="20"/>
      <c r="B8" s="274" t="s">
        <v>332</v>
      </c>
      <c r="C8" s="274"/>
      <c r="D8" s="274"/>
      <c r="E8" s="274"/>
      <c r="F8" s="274"/>
      <c r="G8" s="274"/>
      <c r="H8" s="274"/>
      <c r="J8" s="23">
        <f>IF(ISNA(VLOOKUP($B$4,APS_Table[],8,FALSE())),"",VLOOKUP($B$4,APS_Table[],8,FALSE()))</f>
        <v>100</v>
      </c>
      <c r="K8" s="24"/>
      <c r="L8" s="24"/>
      <c r="M8" s="24"/>
      <c r="N8" s="24"/>
      <c r="W8" s="24"/>
      <c r="X8" s="24"/>
      <c r="Y8" s="25"/>
      <c r="AQ8" s="24"/>
      <c r="AR8" s="24"/>
    </row>
    <row r="9" spans="1:44" ht="18" customHeight="1" x14ac:dyDescent="0.25">
      <c r="A9" s="20"/>
      <c r="B9" s="16" t="s">
        <v>333</v>
      </c>
      <c r="I9" s="29"/>
      <c r="J9" s="29"/>
      <c r="W9" s="24"/>
      <c r="X9" s="24"/>
      <c r="Y9" s="25"/>
      <c r="AQ9" s="24"/>
      <c r="AR9" s="24"/>
    </row>
    <row r="10" spans="1:44" ht="18" customHeight="1" x14ac:dyDescent="0.25">
      <c r="A10" s="20"/>
      <c r="B10" s="274" t="s">
        <v>334</v>
      </c>
      <c r="C10" s="274"/>
      <c r="D10" s="274"/>
      <c r="E10" s="274"/>
      <c r="F10" s="274"/>
      <c r="G10" s="274"/>
      <c r="H10" s="274"/>
      <c r="I10" s="29"/>
      <c r="J10" s="29"/>
      <c r="Q10" s="30"/>
      <c r="W10" s="24"/>
      <c r="X10" s="24"/>
      <c r="Y10" s="25"/>
      <c r="AQ10" s="24"/>
      <c r="AR10" s="24"/>
    </row>
    <row r="11" spans="1:44" ht="18" customHeight="1" x14ac:dyDescent="0.25">
      <c r="A11" s="20"/>
      <c r="B11" s="31" t="s">
        <v>335</v>
      </c>
      <c r="C11" s="32"/>
      <c r="D11" s="32"/>
      <c r="E11" s="32"/>
      <c r="F11" s="32"/>
      <c r="G11" s="32"/>
      <c r="H11" s="32"/>
      <c r="I11" s="29"/>
      <c r="J11" s="29"/>
      <c r="S11" s="15" t="s">
        <v>336</v>
      </c>
      <c r="W11" s="24"/>
      <c r="X11" s="24"/>
      <c r="Y11" s="25"/>
      <c r="AQ11" s="24"/>
      <c r="AR11" s="24"/>
    </row>
    <row r="12" spans="1:44" ht="18" customHeight="1" x14ac:dyDescent="0.25">
      <c r="A12" s="20"/>
      <c r="B12" s="247"/>
      <c r="C12" s="248"/>
      <c r="D12" s="248"/>
      <c r="E12" s="249"/>
      <c r="F12" s="32"/>
      <c r="G12" s="32"/>
      <c r="H12" s="32"/>
      <c r="I12" s="29"/>
      <c r="J12" s="29"/>
      <c r="K12" s="29"/>
      <c r="L12" s="29"/>
      <c r="M12" s="29"/>
      <c r="W12" s="24"/>
      <c r="AQ12" s="24"/>
      <c r="AR12" s="24"/>
    </row>
    <row r="13" spans="1:44" ht="18" customHeight="1" x14ac:dyDescent="0.25">
      <c r="B13" s="17" t="s">
        <v>337</v>
      </c>
      <c r="C13" s="33"/>
      <c r="D13" s="33"/>
      <c r="E13" s="33"/>
      <c r="F13" s="34"/>
      <c r="G13" s="34"/>
      <c r="H13" s="34"/>
      <c r="I13" s="29"/>
      <c r="J13" s="29"/>
      <c r="K13" s="29"/>
      <c r="L13" s="29"/>
      <c r="M13" s="29"/>
      <c r="W13" s="24"/>
      <c r="AQ13" s="24"/>
      <c r="AR13" s="24"/>
    </row>
    <row r="14" spans="1:44" ht="18" customHeight="1" x14ac:dyDescent="0.25">
      <c r="A14" s="20"/>
      <c r="B14" s="275" t="s">
        <v>338</v>
      </c>
      <c r="C14" s="275"/>
      <c r="D14" s="275"/>
      <c r="E14" s="275"/>
      <c r="F14" s="34"/>
      <c r="G14" s="34"/>
      <c r="H14" s="34"/>
      <c r="I14" s="29"/>
      <c r="J14" s="29"/>
      <c r="K14" s="29"/>
      <c r="L14" s="29"/>
      <c r="M14" s="29"/>
      <c r="W14" s="24"/>
      <c r="AQ14" s="24"/>
      <c r="AR14" s="24"/>
    </row>
    <row r="15" spans="1:44" ht="18" customHeight="1" x14ac:dyDescent="0.25">
      <c r="A15" s="20"/>
      <c r="B15" s="35" t="s">
        <v>339</v>
      </c>
      <c r="C15" s="26"/>
      <c r="D15" s="26"/>
      <c r="E15" s="26"/>
      <c r="F15" s="34"/>
      <c r="G15" s="34"/>
      <c r="H15" s="34"/>
      <c r="I15" s="29"/>
      <c r="J15" s="29"/>
      <c r="K15" s="29"/>
      <c r="L15" s="29"/>
      <c r="M15" s="29"/>
      <c r="W15" s="24"/>
      <c r="AQ15" s="24"/>
      <c r="AR15" s="24"/>
    </row>
    <row r="16" spans="1:44" ht="18" customHeight="1" x14ac:dyDescent="0.25">
      <c r="A16" s="20"/>
      <c r="B16" s="251"/>
      <c r="C16" s="252"/>
      <c r="D16" s="252"/>
      <c r="E16" s="253"/>
      <c r="F16" s="34"/>
      <c r="G16" s="34"/>
      <c r="H16" s="34"/>
      <c r="I16" s="29"/>
      <c r="J16" s="29"/>
      <c r="K16" s="29"/>
      <c r="L16" s="29"/>
      <c r="M16" s="29"/>
      <c r="W16" s="24"/>
      <c r="AQ16" s="24"/>
      <c r="AR16" s="24"/>
    </row>
    <row r="17" spans="1:44" ht="18" customHeight="1" x14ac:dyDescent="0.25">
      <c r="A17" s="20"/>
      <c r="B17" s="24"/>
      <c r="C17" s="24"/>
      <c r="D17" s="24"/>
      <c r="E17" s="24"/>
      <c r="F17" s="34"/>
      <c r="G17" s="34"/>
      <c r="H17" s="34"/>
      <c r="I17" s="29"/>
      <c r="J17" s="29"/>
      <c r="K17" s="29"/>
      <c r="L17" s="29"/>
      <c r="M17" s="29"/>
      <c r="W17" s="24"/>
      <c r="AQ17" s="24"/>
      <c r="AR17" s="24"/>
    </row>
    <row r="18" spans="1:44" ht="18" customHeight="1" x14ac:dyDescent="0.25">
      <c r="A18" s="36"/>
      <c r="B18" s="37" t="s">
        <v>340</v>
      </c>
      <c r="C18" s="24"/>
      <c r="D18" s="29"/>
      <c r="E18" s="29"/>
      <c r="F18" s="29"/>
      <c r="G18" s="29"/>
      <c r="H18" s="29"/>
      <c r="I18" s="24"/>
      <c r="J18" s="29"/>
      <c r="K18" s="29"/>
      <c r="L18" s="29"/>
      <c r="M18" s="29"/>
      <c r="N18" s="29"/>
      <c r="O18" s="29"/>
      <c r="P18" s="29"/>
      <c r="Q18" s="29"/>
      <c r="S18" s="29"/>
      <c r="T18" s="29"/>
      <c r="U18" s="29"/>
      <c r="V18" s="29"/>
      <c r="AG18" s="25"/>
      <c r="AH18" s="25"/>
      <c r="AI18" s="25"/>
      <c r="AL18" s="24"/>
      <c r="AM18" s="24"/>
      <c r="AN18" s="24"/>
      <c r="AO18" s="24"/>
      <c r="AQ18" s="24"/>
      <c r="AR18" s="24"/>
    </row>
    <row r="19" spans="1:44" ht="18" customHeight="1" x14ac:dyDescent="0.25">
      <c r="A19" s="20"/>
      <c r="B19" s="254"/>
      <c r="C19" s="255"/>
      <c r="D19" s="255"/>
      <c r="E19" s="255"/>
      <c r="F19" s="255"/>
      <c r="G19" s="255"/>
      <c r="H19" s="255"/>
      <c r="I19" s="255"/>
      <c r="J19" s="256"/>
      <c r="S19" s="29"/>
      <c r="T19" s="29"/>
      <c r="U19" s="29"/>
      <c r="V19" s="29"/>
      <c r="AG19" s="25"/>
      <c r="AH19" s="25"/>
      <c r="AI19" s="25"/>
      <c r="AL19" s="24"/>
      <c r="AM19" s="24"/>
      <c r="AN19" s="24"/>
      <c r="AO19" s="24"/>
      <c r="AQ19" s="24"/>
      <c r="AR19" s="24"/>
    </row>
    <row r="20" spans="1:44" ht="18" customHeight="1" x14ac:dyDescent="0.25">
      <c r="A20" s="20"/>
      <c r="B20" s="257"/>
      <c r="C20" s="258"/>
      <c r="D20" s="258"/>
      <c r="E20" s="258"/>
      <c r="F20" s="258"/>
      <c r="G20" s="258"/>
      <c r="H20" s="258"/>
      <c r="I20" s="258"/>
      <c r="J20" s="259"/>
      <c r="S20" s="29"/>
      <c r="T20" s="29"/>
      <c r="U20" s="29"/>
      <c r="V20" s="29"/>
      <c r="AG20" s="25"/>
      <c r="AH20" s="25"/>
      <c r="AI20" s="25"/>
      <c r="AL20" s="24"/>
      <c r="AM20" s="24"/>
      <c r="AN20" s="24"/>
      <c r="AO20" s="24"/>
      <c r="AQ20" s="24"/>
      <c r="AR20" s="24"/>
    </row>
    <row r="21" spans="1:44" ht="18" customHeight="1" x14ac:dyDescent="0.25">
      <c r="A21" s="20"/>
      <c r="B21" s="257"/>
      <c r="C21" s="258"/>
      <c r="D21" s="258"/>
      <c r="E21" s="258"/>
      <c r="F21" s="258"/>
      <c r="G21" s="258"/>
      <c r="H21" s="258"/>
      <c r="I21" s="258"/>
      <c r="J21" s="259"/>
      <c r="S21" s="29"/>
      <c r="T21" s="29"/>
      <c r="U21" s="29"/>
      <c r="V21" s="29"/>
      <c r="AG21" s="25"/>
      <c r="AH21" s="25"/>
      <c r="AI21" s="25"/>
      <c r="AL21" s="24"/>
      <c r="AM21" s="24"/>
      <c r="AN21" s="24"/>
      <c r="AO21" s="24"/>
      <c r="AQ21" s="24"/>
      <c r="AR21" s="24"/>
    </row>
    <row r="22" spans="1:44" ht="18" customHeight="1" x14ac:dyDescent="0.25">
      <c r="A22" s="20"/>
      <c r="B22" s="257"/>
      <c r="C22" s="258"/>
      <c r="D22" s="258"/>
      <c r="E22" s="258"/>
      <c r="F22" s="258"/>
      <c r="G22" s="258"/>
      <c r="H22" s="258"/>
      <c r="I22" s="258"/>
      <c r="J22" s="259"/>
      <c r="S22" s="29"/>
      <c r="T22" s="29"/>
      <c r="U22" s="29"/>
      <c r="V22" s="29"/>
      <c r="AG22" s="25"/>
      <c r="AH22" s="25"/>
      <c r="AI22" s="25"/>
      <c r="AL22" s="24"/>
      <c r="AM22" s="24"/>
      <c r="AN22" s="24"/>
      <c r="AO22" s="24"/>
      <c r="AQ22" s="24"/>
      <c r="AR22" s="24"/>
    </row>
    <row r="23" spans="1:44" ht="18" customHeight="1" x14ac:dyDescent="0.25">
      <c r="A23" s="20"/>
      <c r="B23" s="257"/>
      <c r="C23" s="258"/>
      <c r="D23" s="258"/>
      <c r="E23" s="258"/>
      <c r="F23" s="258"/>
      <c r="G23" s="258"/>
      <c r="H23" s="258"/>
      <c r="I23" s="258"/>
      <c r="J23" s="259"/>
      <c r="S23" s="29"/>
      <c r="T23" s="29"/>
      <c r="U23" s="29"/>
      <c r="V23" s="29"/>
      <c r="AG23" s="25"/>
      <c r="AH23" s="25"/>
      <c r="AI23" s="25"/>
      <c r="AL23" s="24"/>
      <c r="AM23" s="24"/>
      <c r="AN23" s="24"/>
      <c r="AO23" s="24"/>
      <c r="AQ23" s="24"/>
      <c r="AR23" s="24"/>
    </row>
    <row r="24" spans="1:44" ht="18" customHeight="1" x14ac:dyDescent="0.25">
      <c r="A24" s="20"/>
      <c r="B24" s="257"/>
      <c r="C24" s="258"/>
      <c r="D24" s="258"/>
      <c r="E24" s="258"/>
      <c r="F24" s="258"/>
      <c r="G24" s="258"/>
      <c r="H24" s="258"/>
      <c r="I24" s="258"/>
      <c r="J24" s="259"/>
      <c r="S24" s="29"/>
      <c r="T24" s="29"/>
      <c r="U24" s="29"/>
      <c r="V24" s="29"/>
      <c r="AG24" s="25"/>
      <c r="AH24" s="25"/>
      <c r="AI24" s="25"/>
      <c r="AL24" s="24"/>
      <c r="AM24" s="24"/>
      <c r="AN24" s="24"/>
      <c r="AO24" s="24"/>
      <c r="AQ24" s="24"/>
      <c r="AR24" s="24"/>
    </row>
    <row r="25" spans="1:44" ht="18" customHeight="1" x14ac:dyDescent="0.25">
      <c r="A25" s="20"/>
      <c r="B25" s="260"/>
      <c r="C25" s="261"/>
      <c r="D25" s="261"/>
      <c r="E25" s="261"/>
      <c r="F25" s="261"/>
      <c r="G25" s="261"/>
      <c r="H25" s="261"/>
      <c r="I25" s="261"/>
      <c r="J25" s="262"/>
      <c r="S25" s="29"/>
      <c r="T25" s="29"/>
      <c r="U25" s="29"/>
      <c r="V25" s="29"/>
      <c r="AG25" s="25"/>
      <c r="AH25" s="25"/>
      <c r="AI25" s="25"/>
      <c r="AL25" s="24"/>
      <c r="AM25" s="24"/>
      <c r="AN25" s="24"/>
      <c r="AO25" s="24"/>
      <c r="AQ25" s="24"/>
      <c r="AR25" s="24"/>
    </row>
    <row r="26" spans="1:44" ht="18" customHeight="1" x14ac:dyDescent="0.25">
      <c r="A26" s="20"/>
      <c r="F26" s="38"/>
      <c r="G26" s="39"/>
      <c r="H26" s="39"/>
      <c r="I26" s="39"/>
      <c r="J26" s="39"/>
      <c r="S26" s="29"/>
      <c r="T26" s="29"/>
      <c r="U26" s="29"/>
      <c r="V26" s="29"/>
      <c r="AG26" s="25"/>
      <c r="AH26" s="25"/>
      <c r="AI26" s="25"/>
      <c r="AL26" s="24"/>
      <c r="AM26" s="24"/>
      <c r="AN26" s="24"/>
      <c r="AO26" s="24"/>
      <c r="AQ26" s="24"/>
      <c r="AR26" s="24"/>
    </row>
    <row r="27" spans="1:44" ht="18" customHeight="1" x14ac:dyDescent="0.25">
      <c r="A27" s="36"/>
      <c r="B27" s="37" t="s">
        <v>341</v>
      </c>
      <c r="C27" s="24"/>
      <c r="D27" s="29"/>
      <c r="E27" s="29"/>
      <c r="F27" s="29"/>
      <c r="G27" s="29"/>
      <c r="H27" s="29"/>
      <c r="I27" s="24"/>
      <c r="J27" s="29"/>
      <c r="K27" s="29"/>
      <c r="L27" s="29"/>
      <c r="M27" s="29"/>
      <c r="N27" s="29"/>
      <c r="O27" s="29"/>
      <c r="P27" s="29"/>
      <c r="Q27" s="36"/>
      <c r="W27" s="24"/>
      <c r="X27" s="24"/>
      <c r="Y27" s="24"/>
      <c r="Z27" s="29"/>
      <c r="AQ27" s="24"/>
      <c r="AR27" s="24"/>
    </row>
    <row r="28" spans="1:44" s="41" customFormat="1" ht="18" customHeight="1" x14ac:dyDescent="0.25">
      <c r="A28" s="40"/>
      <c r="B28" s="263"/>
      <c r="C28" s="264"/>
      <c r="D28" s="264"/>
      <c r="E28" s="264"/>
      <c r="F28" s="264"/>
      <c r="G28" s="264"/>
      <c r="H28" s="264"/>
      <c r="I28" s="264"/>
      <c r="J28" s="265"/>
      <c r="K28" s="15"/>
      <c r="L28" s="15"/>
      <c r="M28" s="15"/>
      <c r="N28" s="15"/>
      <c r="AQ28" s="24"/>
      <c r="AR28" s="24"/>
    </row>
    <row r="29" spans="1:44" s="41" customFormat="1" ht="18" customHeight="1" x14ac:dyDescent="0.25">
      <c r="A29" s="40"/>
      <c r="B29" s="266"/>
      <c r="C29" s="267"/>
      <c r="D29" s="267"/>
      <c r="E29" s="267"/>
      <c r="F29" s="267"/>
      <c r="G29" s="267"/>
      <c r="H29" s="267"/>
      <c r="I29" s="267"/>
      <c r="J29" s="268"/>
      <c r="K29" s="15"/>
      <c r="L29" s="15"/>
      <c r="M29" s="15"/>
      <c r="N29" s="15"/>
      <c r="AQ29" s="24"/>
      <c r="AR29" s="24"/>
    </row>
    <row r="30" spans="1:44" s="41" customFormat="1" ht="18" customHeight="1" x14ac:dyDescent="0.25">
      <c r="A30" s="40"/>
      <c r="B30" s="269"/>
      <c r="C30" s="270"/>
      <c r="D30" s="270"/>
      <c r="E30" s="270"/>
      <c r="F30" s="270"/>
      <c r="G30" s="270"/>
      <c r="H30" s="270"/>
      <c r="I30" s="270"/>
      <c r="J30" s="271"/>
      <c r="K30" s="15"/>
      <c r="L30" s="15"/>
      <c r="M30" s="15"/>
      <c r="N30" s="15"/>
      <c r="AQ30" s="24"/>
      <c r="AR30" s="24"/>
    </row>
    <row r="31" spans="1:44" s="41" customFormat="1" ht="18" customHeight="1" x14ac:dyDescent="0.25">
      <c r="A31" s="40"/>
      <c r="B31" s="42"/>
      <c r="C31" s="42"/>
      <c r="D31" s="42"/>
      <c r="E31" s="42"/>
      <c r="F31" s="42"/>
      <c r="G31" s="42"/>
      <c r="H31" s="42"/>
      <c r="I31" s="42"/>
      <c r="J31" s="42"/>
      <c r="K31" s="15"/>
      <c r="L31" s="15"/>
      <c r="M31" s="15"/>
      <c r="N31" s="15"/>
      <c r="AQ31" s="24"/>
      <c r="AR31" s="24"/>
    </row>
    <row r="32" spans="1:44" s="44" customFormat="1" ht="18" customHeight="1" x14ac:dyDescent="0.25">
      <c r="A32" s="20"/>
      <c r="B32" s="35" t="s">
        <v>342</v>
      </c>
      <c r="C32" s="43"/>
      <c r="D32" s="43"/>
      <c r="E32" s="43"/>
      <c r="F32" s="43"/>
      <c r="G32" s="43"/>
      <c r="I32" s="35" t="s">
        <v>343</v>
      </c>
      <c r="J32" s="43"/>
      <c r="K32" s="16"/>
      <c r="L32" s="16"/>
      <c r="M32" s="16"/>
      <c r="N32" s="16"/>
      <c r="AQ32" s="28"/>
      <c r="AR32" s="28"/>
    </row>
    <row r="33" spans="1:44" s="41" customFormat="1" ht="18" customHeight="1" x14ac:dyDescent="0.25">
      <c r="A33" s="40"/>
      <c r="B33" s="251"/>
      <c r="C33" s="252"/>
      <c r="D33" s="252"/>
      <c r="E33" s="253"/>
      <c r="F33" s="42"/>
      <c r="G33" s="42"/>
      <c r="I33" s="272"/>
      <c r="J33" s="273"/>
      <c r="K33" s="15"/>
      <c r="L33" s="15"/>
      <c r="M33" s="15"/>
      <c r="N33" s="15"/>
      <c r="AQ33" s="24"/>
      <c r="AR33" s="24"/>
    </row>
    <row r="34" spans="1:44" s="41" customFormat="1" ht="18" customHeight="1" x14ac:dyDescent="0.25">
      <c r="A34" s="40"/>
      <c r="B34" s="42"/>
      <c r="C34" s="42"/>
      <c r="D34" s="42"/>
      <c r="E34" s="42"/>
      <c r="F34" s="42"/>
      <c r="G34" s="42"/>
      <c r="H34" s="42"/>
      <c r="I34" s="42"/>
      <c r="J34" s="42"/>
      <c r="K34" s="15"/>
      <c r="L34" s="15"/>
      <c r="M34" s="15"/>
      <c r="N34" s="15"/>
      <c r="AQ34" s="24"/>
      <c r="AR34" s="24"/>
    </row>
    <row r="35" spans="1:44" s="41" customFormat="1" ht="18" customHeight="1" x14ac:dyDescent="0.25">
      <c r="A35" s="40"/>
      <c r="B35" s="35" t="s">
        <v>344</v>
      </c>
      <c r="C35" s="42"/>
      <c r="D35" s="42"/>
      <c r="E35" s="42"/>
      <c r="F35" s="42"/>
      <c r="G35" s="42"/>
      <c r="H35" s="42"/>
      <c r="I35" s="42"/>
      <c r="J35" s="42"/>
      <c r="K35" s="15"/>
      <c r="L35" s="15"/>
      <c r="M35" s="15"/>
      <c r="N35" s="15"/>
      <c r="AQ35" s="24"/>
      <c r="AR35" s="24"/>
    </row>
    <row r="36" spans="1:44" s="41" customFormat="1" ht="18" customHeight="1" x14ac:dyDescent="0.25">
      <c r="A36" s="40"/>
      <c r="B36" s="272"/>
      <c r="C36" s="273"/>
      <c r="D36" s="45"/>
      <c r="E36" s="45"/>
      <c r="F36" s="45"/>
      <c r="G36" s="45"/>
      <c r="H36" s="45"/>
      <c r="I36" s="45"/>
      <c r="J36" s="185" t="s">
        <v>709</v>
      </c>
      <c r="K36" s="15"/>
      <c r="L36" s="15"/>
      <c r="M36" s="15"/>
      <c r="N36" s="15"/>
      <c r="AQ36" s="24"/>
      <c r="AR36" s="24"/>
    </row>
    <row r="37" spans="1:44" s="41" customFormat="1" ht="18" customHeight="1" x14ac:dyDescent="0.25">
      <c r="A37" s="15"/>
      <c r="B37" s="46"/>
      <c r="C37" s="47"/>
      <c r="D37" s="47"/>
      <c r="E37" s="47"/>
      <c r="F37" s="47"/>
      <c r="G37" s="15"/>
      <c r="H37" s="15"/>
      <c r="I37" s="15"/>
      <c r="J37" s="15"/>
      <c r="K37" s="15"/>
      <c r="L37" s="15"/>
      <c r="M37" s="15"/>
      <c r="N37" s="15"/>
      <c r="O37" s="15"/>
      <c r="AQ37" s="24"/>
      <c r="AR37" s="24"/>
    </row>
    <row r="38" spans="1:44" s="41" customFormat="1" ht="18" customHeight="1" x14ac:dyDescent="0.25">
      <c r="A38" s="15"/>
      <c r="B38" s="15"/>
      <c r="C38" s="2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AQ38" s="24"/>
      <c r="AR38" s="24"/>
    </row>
    <row r="39" spans="1:44" s="7" customFormat="1" ht="18" customHeight="1" x14ac:dyDescent="0.25">
      <c r="B39" s="8" t="s">
        <v>345</v>
      </c>
      <c r="C39" s="9"/>
      <c r="D39" s="10"/>
      <c r="E39" s="10"/>
      <c r="F39" s="10"/>
      <c r="G39" s="10"/>
      <c r="H39" s="10"/>
      <c r="I39" s="9"/>
      <c r="J39" s="10"/>
      <c r="K39" s="10"/>
      <c r="L39" s="10"/>
      <c r="M39" s="10"/>
      <c r="N39" s="10"/>
      <c r="O39" s="10"/>
      <c r="P39" s="10"/>
      <c r="Q39" s="8"/>
      <c r="W39" s="9"/>
      <c r="X39" s="9"/>
      <c r="Y39" s="9"/>
      <c r="Z39" s="10"/>
      <c r="AQ39" s="9"/>
      <c r="AR39" s="9"/>
    </row>
    <row r="40" spans="1:44" ht="18" customHeight="1" x14ac:dyDescent="0.25">
      <c r="B40" s="16" t="s">
        <v>346</v>
      </c>
    </row>
    <row r="41" spans="1:44" ht="18" customHeight="1" x14ac:dyDescent="0.25">
      <c r="A41" s="50"/>
      <c r="B41" s="247"/>
      <c r="C41" s="248"/>
      <c r="D41" s="248"/>
      <c r="E41" s="248"/>
      <c r="F41" s="248"/>
      <c r="G41" s="248"/>
      <c r="H41" s="249"/>
    </row>
    <row r="42" spans="1:44" ht="18" customHeight="1" x14ac:dyDescent="0.25">
      <c r="A42" s="36"/>
      <c r="B42" s="51" t="s">
        <v>347</v>
      </c>
      <c r="C42" s="52"/>
      <c r="D42" s="52"/>
      <c r="E42" s="18"/>
      <c r="F42" s="18"/>
      <c r="G42" s="18"/>
    </row>
    <row r="43" spans="1:44" ht="18" customHeight="1" x14ac:dyDescent="0.25">
      <c r="A43" s="20"/>
      <c r="B43" s="247"/>
      <c r="C43" s="248"/>
      <c r="D43" s="248"/>
      <c r="E43" s="248"/>
      <c r="F43" s="248"/>
      <c r="G43" s="248"/>
      <c r="H43" s="249"/>
    </row>
    <row r="44" spans="1:44" ht="18" customHeight="1" x14ac:dyDescent="0.25">
      <c r="A44" s="20"/>
      <c r="B44" s="53" t="s">
        <v>348</v>
      </c>
      <c r="C44" s="54"/>
      <c r="D44" s="55"/>
      <c r="E44" s="29"/>
      <c r="F44" s="29"/>
      <c r="G44" s="29"/>
    </row>
    <row r="45" spans="1:44" ht="18" customHeight="1" x14ac:dyDescent="0.25">
      <c r="A45" s="56"/>
      <c r="B45" s="247"/>
      <c r="C45" s="248"/>
      <c r="D45" s="248"/>
      <c r="E45" s="249"/>
      <c r="F45" s="57"/>
      <c r="G45" s="57"/>
    </row>
    <row r="46" spans="1:44" ht="18" customHeight="1" x14ac:dyDescent="0.25">
      <c r="A46" s="56"/>
      <c r="E46" s="57"/>
      <c r="F46" s="57"/>
      <c r="G46" s="57"/>
    </row>
    <row r="47" spans="1:44" ht="18" customHeight="1" x14ac:dyDescent="0.25">
      <c r="B47" s="16" t="s">
        <v>349</v>
      </c>
      <c r="D47" s="16"/>
      <c r="E47" s="16"/>
      <c r="F47" s="16"/>
      <c r="G47" s="57"/>
      <c r="H47" s="57"/>
    </row>
    <row r="48" spans="1:44" ht="18" customHeight="1" x14ac:dyDescent="0.25">
      <c r="B48" s="20"/>
      <c r="D48" s="58" t="s">
        <v>350</v>
      </c>
      <c r="E48" s="58"/>
      <c r="F48" s="58"/>
      <c r="G48" s="59" t="s">
        <v>351</v>
      </c>
      <c r="H48" s="57"/>
    </row>
    <row r="49" spans="2:55" ht="18" customHeight="1" x14ac:dyDescent="0.25">
      <c r="B49" s="60"/>
      <c r="D49" s="164">
        <v>2000</v>
      </c>
      <c r="E49" s="61" t="str">
        <f>IF(ISBLANK(D49),"",IF(OR(NOT(ISNUMBER(D49)),NOT(ISNUMBER(G49))),"Numbers only",""))</f>
        <v/>
      </c>
      <c r="F49" s="62"/>
      <c r="G49" s="165">
        <v>2010</v>
      </c>
      <c r="H49" s="18"/>
    </row>
    <row r="50" spans="2:55" ht="18" customHeight="1" x14ac:dyDescent="0.25">
      <c r="B50" s="20"/>
      <c r="D50" s="164">
        <v>4000</v>
      </c>
      <c r="E50" s="63" t="str">
        <f>IF(ISBLANK(D50),"",IF(OR(NOT(ISNUMBER(D50)),NOT(ISNUMBER(G50))),"Numbers only",""))</f>
        <v/>
      </c>
      <c r="F50" s="62"/>
      <c r="G50" s="165">
        <v>4010</v>
      </c>
      <c r="H50" s="18"/>
    </row>
    <row r="51" spans="2:55" ht="18" customHeight="1" x14ac:dyDescent="0.25">
      <c r="B51" s="20"/>
      <c r="D51" s="164">
        <v>6000</v>
      </c>
      <c r="E51" s="63" t="str">
        <f>IF(ISBLANK(D51),"",IF(OR(NOT(ISNUMBER(D51)),NOT(ISNUMBER(G51))),"Numbers only",""))</f>
        <v/>
      </c>
      <c r="F51" s="62"/>
      <c r="G51" s="165">
        <v>6010</v>
      </c>
      <c r="H51" s="18"/>
    </row>
    <row r="52" spans="2:55" ht="18" customHeight="1" x14ac:dyDescent="0.25">
      <c r="B52" s="20"/>
      <c r="D52" s="164"/>
      <c r="E52" s="63" t="str">
        <f>IF(ISBLANK(D52),"",IF(OR(NOT(ISNUMBER(D52)),NOT(ISNUMBER(G52))),"Numbers only",""))</f>
        <v/>
      </c>
      <c r="F52" s="62"/>
      <c r="G52" s="165"/>
    </row>
    <row r="53" spans="2:55" ht="18" customHeight="1" x14ac:dyDescent="0.25">
      <c r="B53" s="20"/>
      <c r="C53" s="15" t="str">
        <f>IF(NOT(COUNT(D49:D52)=COUNT(G49:G52)),"Reference and proposed methods must have the same number of thresholds","")</f>
        <v/>
      </c>
    </row>
    <row r="54" spans="2:55" ht="18" customHeight="1" x14ac:dyDescent="0.25">
      <c r="B54" s="20"/>
      <c r="D54" s="250" t="s">
        <v>352</v>
      </c>
      <c r="E54" s="250"/>
      <c r="F54" s="250"/>
      <c r="G54" s="250" t="s">
        <v>353</v>
      </c>
      <c r="H54" s="250"/>
      <c r="I54" s="250"/>
    </row>
    <row r="55" spans="2:55" ht="18" customHeight="1" x14ac:dyDescent="0.25">
      <c r="B55" s="243" t="s">
        <v>354</v>
      </c>
      <c r="C55" s="244"/>
      <c r="D55" s="245"/>
      <c r="E55" s="245"/>
      <c r="F55" s="245"/>
      <c r="G55" s="245"/>
      <c r="H55" s="245"/>
      <c r="I55" s="245"/>
    </row>
    <row r="56" spans="2:55" ht="18" customHeight="1" x14ac:dyDescent="0.25">
      <c r="B56" s="243" t="s">
        <v>355</v>
      </c>
      <c r="C56" s="244"/>
      <c r="D56" s="245"/>
      <c r="E56" s="245"/>
      <c r="F56" s="245"/>
      <c r="G56" s="245"/>
      <c r="H56" s="245"/>
      <c r="I56" s="245"/>
    </row>
    <row r="57" spans="2:55" ht="18" customHeight="1" x14ac:dyDescent="0.25">
      <c r="B57" s="20"/>
    </row>
    <row r="58" spans="2:55" ht="18" customHeight="1" x14ac:dyDescent="0.25">
      <c r="B58" s="20"/>
    </row>
    <row r="59" spans="2:55" ht="18" customHeight="1" x14ac:dyDescent="0.25">
      <c r="B59" s="20"/>
      <c r="C59" s="36"/>
      <c r="D59" s="246" t="s">
        <v>352</v>
      </c>
      <c r="E59" s="246"/>
      <c r="F59" s="246"/>
      <c r="G59" s="246" t="s">
        <v>353</v>
      </c>
      <c r="H59" s="246"/>
      <c r="I59" s="246"/>
      <c r="J59" s="28"/>
      <c r="K59" s="28"/>
      <c r="L59" s="28"/>
      <c r="M59" s="28"/>
      <c r="O59" s="15" t="s">
        <v>352</v>
      </c>
      <c r="R59" s="15" t="s">
        <v>353</v>
      </c>
    </row>
    <row r="60" spans="2:55" ht="18" customHeight="1" x14ac:dyDescent="0.25">
      <c r="B60" s="224" t="s">
        <v>357</v>
      </c>
      <c r="C60" s="224"/>
      <c r="D60" s="67" t="s">
        <v>358</v>
      </c>
      <c r="E60" s="67" t="s">
        <v>359</v>
      </c>
      <c r="F60" s="67" t="s">
        <v>360</v>
      </c>
      <c r="G60" s="66" t="str">
        <f>D60</f>
        <v>Operator</v>
      </c>
      <c r="H60" s="67" t="s">
        <v>359</v>
      </c>
      <c r="I60" s="67" t="s">
        <v>360</v>
      </c>
      <c r="J60" s="68" t="s">
        <v>361</v>
      </c>
      <c r="K60" s="240" t="s">
        <v>362</v>
      </c>
      <c r="L60" s="241"/>
      <c r="M60" s="242"/>
      <c r="O60" s="69" t="s">
        <v>363</v>
      </c>
      <c r="P60" s="70" t="s">
        <v>364</v>
      </c>
      <c r="Q60" s="70" t="s">
        <v>365</v>
      </c>
      <c r="R60" s="70" t="s">
        <v>366</v>
      </c>
      <c r="S60" s="70" t="s">
        <v>367</v>
      </c>
      <c r="T60" s="70" t="s">
        <v>368</v>
      </c>
    </row>
    <row r="61" spans="2:55" ht="18" customHeight="1" x14ac:dyDescent="0.25">
      <c r="B61" s="239">
        <v>1000</v>
      </c>
      <c r="C61" s="239"/>
      <c r="D61" s="166"/>
      <c r="E61" s="167">
        <v>10583</v>
      </c>
      <c r="F61" s="167">
        <v>10172</v>
      </c>
      <c r="G61" s="166" t="s">
        <v>369</v>
      </c>
      <c r="H61" s="167">
        <v>10737</v>
      </c>
      <c r="I61" s="166">
        <v>10746</v>
      </c>
      <c r="J61" s="71" t="s">
        <v>370</v>
      </c>
      <c r="K61" s="235"/>
      <c r="L61" s="235"/>
      <c r="M61" s="235"/>
      <c r="O61" s="72">
        <f t="shared" ref="O61:O124" si="0">IF($J61="INCLUDE",E61,"")</f>
        <v>10583</v>
      </c>
      <c r="P61" s="73">
        <f t="shared" ref="P61:P124" si="1">IF(AND($J61="INCLUDE",ISNUMBER(F61)),F61,"")</f>
        <v>10172</v>
      </c>
      <c r="Q61" s="73">
        <f t="shared" ref="Q61:Q124" si="2">IF($J61="INCLUDE",AVERAGE(O61:P61),"")</f>
        <v>10377.5</v>
      </c>
      <c r="R61" s="73">
        <f t="shared" ref="R61:R124" si="3">IF($J61="INCLUDE",H61,"")</f>
        <v>10737</v>
      </c>
      <c r="S61" s="73">
        <f t="shared" ref="S61:S124" si="4">IF(AND($J61="INCLUDE",ISNUMBER(I61)),I61,"")</f>
        <v>10746</v>
      </c>
      <c r="T61" s="73">
        <f t="shared" ref="T61:T124" si="5">IF($J61="INCLUDE",AVERAGE(R61:S61),"")</f>
        <v>10741.5</v>
      </c>
      <c r="AP61" s="192" t="s">
        <v>375</v>
      </c>
      <c r="AQ61" s="192" t="s">
        <v>627</v>
      </c>
      <c r="AR61" s="192" t="s">
        <v>626</v>
      </c>
      <c r="AS61" s="192" t="s">
        <v>320</v>
      </c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</row>
    <row r="62" spans="2:55" ht="18" customHeight="1" x14ac:dyDescent="0.25">
      <c r="B62" s="239">
        <v>1001</v>
      </c>
      <c r="C62" s="239"/>
      <c r="D62" s="166"/>
      <c r="E62" s="167">
        <v>3879</v>
      </c>
      <c r="F62" s="166">
        <v>4233</v>
      </c>
      <c r="G62" s="166" t="s">
        <v>369</v>
      </c>
      <c r="H62" s="166">
        <v>3934</v>
      </c>
      <c r="I62" s="166">
        <v>3763</v>
      </c>
      <c r="J62" s="71" t="s">
        <v>370</v>
      </c>
      <c r="K62" s="235"/>
      <c r="L62" s="235"/>
      <c r="M62" s="235"/>
      <c r="O62" s="72">
        <f t="shared" si="0"/>
        <v>3879</v>
      </c>
      <c r="P62" s="73">
        <f t="shared" si="1"/>
        <v>4233</v>
      </c>
      <c r="Q62" s="73">
        <f t="shared" si="2"/>
        <v>4056</v>
      </c>
      <c r="R62" s="73">
        <f t="shared" si="3"/>
        <v>3934</v>
      </c>
      <c r="S62" s="73">
        <f t="shared" si="4"/>
        <v>3763</v>
      </c>
      <c r="T62" s="73">
        <f t="shared" si="5"/>
        <v>3848.5</v>
      </c>
      <c r="AP62" s="192">
        <v>10559.5</v>
      </c>
      <c r="AQ62" s="192">
        <v>3.4471329134902223E-2</v>
      </c>
      <c r="AR62" s="192">
        <v>10377.5</v>
      </c>
      <c r="AS62" s="192">
        <v>10741.5</v>
      </c>
      <c r="AT62" s="192">
        <v>444.75</v>
      </c>
      <c r="AU62" s="192">
        <v>2.9560018366431778E-2</v>
      </c>
      <c r="AV62" s="192">
        <v>444.75</v>
      </c>
      <c r="AW62" s="192">
        <v>0.16132419694229849</v>
      </c>
      <c r="AX62" s="192">
        <v>444.75</v>
      </c>
      <c r="AY62" s="192">
        <v>-0.10220416020943494</v>
      </c>
      <c r="AZ62" s="192">
        <v>100</v>
      </c>
      <c r="BA62" s="192">
        <v>0.1</v>
      </c>
      <c r="BB62" s="192">
        <v>100</v>
      </c>
      <c r="BC62" s="192">
        <v>-0.1</v>
      </c>
    </row>
    <row r="63" spans="2:55" ht="18" customHeight="1" x14ac:dyDescent="0.25">
      <c r="B63" s="239">
        <v>1002</v>
      </c>
      <c r="C63" s="239"/>
      <c r="D63" s="166"/>
      <c r="E63" s="167">
        <v>2674</v>
      </c>
      <c r="F63" s="166">
        <v>2634</v>
      </c>
      <c r="G63" s="166" t="s">
        <v>369</v>
      </c>
      <c r="H63" s="166">
        <v>2679</v>
      </c>
      <c r="I63" s="166">
        <v>2632</v>
      </c>
      <c r="J63" s="71" t="s">
        <v>370</v>
      </c>
      <c r="K63" s="235"/>
      <c r="L63" s="235"/>
      <c r="M63" s="235"/>
      <c r="O63" s="72">
        <f t="shared" si="0"/>
        <v>2674</v>
      </c>
      <c r="P63" s="73">
        <f t="shared" si="1"/>
        <v>2634</v>
      </c>
      <c r="Q63" s="73">
        <f t="shared" si="2"/>
        <v>2654</v>
      </c>
      <c r="R63" s="73">
        <f t="shared" si="3"/>
        <v>2679</v>
      </c>
      <c r="S63" s="73">
        <f t="shared" si="4"/>
        <v>2632</v>
      </c>
      <c r="T63" s="73">
        <f t="shared" si="5"/>
        <v>2655.5</v>
      </c>
      <c r="AP63" s="192">
        <v>3952.25</v>
      </c>
      <c r="AQ63" s="192">
        <v>-5.2501739515465877E-2</v>
      </c>
      <c r="AR63" s="192">
        <v>4056</v>
      </c>
      <c r="AS63" s="192">
        <v>3848.5</v>
      </c>
      <c r="AT63" s="192">
        <v>17217.75</v>
      </c>
      <c r="AU63" s="192">
        <v>2.9560018366431778E-2</v>
      </c>
      <c r="AV63" s="192">
        <v>17217.75</v>
      </c>
      <c r="AW63" s="192">
        <v>0.16132419694229849</v>
      </c>
      <c r="AX63" s="192">
        <v>17217.75</v>
      </c>
      <c r="AY63" s="192">
        <v>-0.10220416020943494</v>
      </c>
      <c r="AZ63" s="192">
        <v>17217.75</v>
      </c>
      <c r="BA63" s="192">
        <v>0.1</v>
      </c>
      <c r="BB63" s="192">
        <v>17217.75</v>
      </c>
      <c r="BC63" s="192">
        <v>-0.1</v>
      </c>
    </row>
    <row r="64" spans="2:55" ht="18" customHeight="1" x14ac:dyDescent="0.25">
      <c r="B64" s="239">
        <v>1003</v>
      </c>
      <c r="C64" s="239"/>
      <c r="D64" s="166"/>
      <c r="E64" s="167">
        <v>4865</v>
      </c>
      <c r="F64" s="167">
        <v>4629</v>
      </c>
      <c r="G64" s="166" t="s">
        <v>369</v>
      </c>
      <c r="H64" s="167">
        <v>4932</v>
      </c>
      <c r="I64" s="166">
        <v>5449</v>
      </c>
      <c r="J64" s="71" t="s">
        <v>370</v>
      </c>
      <c r="K64" s="235"/>
      <c r="L64" s="235"/>
      <c r="M64" s="235"/>
      <c r="O64" s="72">
        <f t="shared" si="0"/>
        <v>4865</v>
      </c>
      <c r="P64" s="73">
        <f t="shared" si="1"/>
        <v>4629</v>
      </c>
      <c r="Q64" s="73">
        <f t="shared" si="2"/>
        <v>4747</v>
      </c>
      <c r="R64" s="73">
        <f t="shared" si="3"/>
        <v>4932</v>
      </c>
      <c r="S64" s="73">
        <f t="shared" si="4"/>
        <v>5449</v>
      </c>
      <c r="T64" s="73">
        <f t="shared" si="5"/>
        <v>5190.5</v>
      </c>
      <c r="AP64" s="192">
        <v>2654.75</v>
      </c>
      <c r="AQ64" s="192">
        <v>5.6502495526885774E-4</v>
      </c>
      <c r="AR64" s="192">
        <v>2654</v>
      </c>
      <c r="AS64" s="192">
        <v>2655.5</v>
      </c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</row>
    <row r="65" spans="2:55" ht="18" customHeight="1" x14ac:dyDescent="0.25">
      <c r="B65" s="239">
        <v>1004</v>
      </c>
      <c r="C65" s="239"/>
      <c r="D65" s="166"/>
      <c r="E65" s="167">
        <v>1471</v>
      </c>
      <c r="F65" s="166">
        <v>1448</v>
      </c>
      <c r="G65" s="166" t="s">
        <v>369</v>
      </c>
      <c r="H65" s="166">
        <v>1546</v>
      </c>
      <c r="I65" s="166">
        <v>1563</v>
      </c>
      <c r="J65" s="71" t="s">
        <v>370</v>
      </c>
      <c r="K65" s="235"/>
      <c r="L65" s="235"/>
      <c r="M65" s="235"/>
      <c r="O65" s="72">
        <f t="shared" si="0"/>
        <v>1471</v>
      </c>
      <c r="P65" s="73">
        <f t="shared" si="1"/>
        <v>1448</v>
      </c>
      <c r="Q65" s="73">
        <f t="shared" si="2"/>
        <v>1459.5</v>
      </c>
      <c r="R65" s="73">
        <f t="shared" si="3"/>
        <v>1546</v>
      </c>
      <c r="S65" s="73">
        <f t="shared" si="4"/>
        <v>1563</v>
      </c>
      <c r="T65" s="73">
        <f t="shared" si="5"/>
        <v>1554.5</v>
      </c>
      <c r="AP65" s="192">
        <v>4968.75</v>
      </c>
      <c r="AQ65" s="192">
        <v>8.925786163522012E-2</v>
      </c>
      <c r="AR65" s="192">
        <v>4747</v>
      </c>
      <c r="AS65" s="192">
        <v>5190.5</v>
      </c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</row>
    <row r="66" spans="2:55" ht="18" customHeight="1" x14ac:dyDescent="0.25">
      <c r="B66" s="239">
        <v>1005</v>
      </c>
      <c r="C66" s="239"/>
      <c r="D66" s="166"/>
      <c r="E66" s="167">
        <v>6018</v>
      </c>
      <c r="F66" s="166">
        <v>5742</v>
      </c>
      <c r="G66" s="166" t="s">
        <v>369</v>
      </c>
      <c r="H66" s="166">
        <v>5985</v>
      </c>
      <c r="I66" s="166">
        <v>6065</v>
      </c>
      <c r="J66" s="71" t="s">
        <v>370</v>
      </c>
      <c r="K66" s="235"/>
      <c r="L66" s="235"/>
      <c r="M66" s="235"/>
      <c r="O66" s="72">
        <f t="shared" si="0"/>
        <v>6018</v>
      </c>
      <c r="P66" s="73">
        <f t="shared" si="1"/>
        <v>5742</v>
      </c>
      <c r="Q66" s="73">
        <f t="shared" si="2"/>
        <v>5880</v>
      </c>
      <c r="R66" s="73">
        <f t="shared" si="3"/>
        <v>5985</v>
      </c>
      <c r="S66" s="73">
        <f t="shared" si="4"/>
        <v>6065</v>
      </c>
      <c r="T66" s="73">
        <f t="shared" si="5"/>
        <v>6025</v>
      </c>
      <c r="AP66" s="192">
        <v>1507</v>
      </c>
      <c r="AQ66" s="192">
        <v>6.3039150630391505E-2</v>
      </c>
      <c r="AR66" s="192">
        <v>1459.5</v>
      </c>
      <c r="AS66" s="192">
        <v>1554.5</v>
      </c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</row>
    <row r="67" spans="2:55" ht="18" customHeight="1" x14ac:dyDescent="0.25">
      <c r="B67" s="239">
        <v>1006</v>
      </c>
      <c r="C67" s="239"/>
      <c r="D67" s="166"/>
      <c r="E67" s="167">
        <v>3891</v>
      </c>
      <c r="F67" s="167">
        <v>3851</v>
      </c>
      <c r="G67" s="166" t="s">
        <v>369</v>
      </c>
      <c r="H67" s="167">
        <v>3922</v>
      </c>
      <c r="I67" s="166">
        <v>3801</v>
      </c>
      <c r="J67" s="71" t="s">
        <v>370</v>
      </c>
      <c r="K67" s="235"/>
      <c r="L67" s="235"/>
      <c r="M67" s="235"/>
      <c r="O67" s="72">
        <f t="shared" si="0"/>
        <v>3891</v>
      </c>
      <c r="P67" s="73">
        <f t="shared" si="1"/>
        <v>3851</v>
      </c>
      <c r="Q67" s="73">
        <f t="shared" si="2"/>
        <v>3871</v>
      </c>
      <c r="R67" s="73">
        <f t="shared" si="3"/>
        <v>3922</v>
      </c>
      <c r="S67" s="73">
        <f t="shared" si="4"/>
        <v>3801</v>
      </c>
      <c r="T67" s="73">
        <f t="shared" si="5"/>
        <v>3861.5</v>
      </c>
      <c r="AP67" s="192">
        <v>5952.5</v>
      </c>
      <c r="AQ67" s="192">
        <v>2.4359512809743807E-2</v>
      </c>
      <c r="AR67" s="192">
        <v>5880</v>
      </c>
      <c r="AS67" s="192">
        <v>6025</v>
      </c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</row>
    <row r="68" spans="2:55" ht="18" customHeight="1" x14ac:dyDescent="0.25">
      <c r="B68" s="239">
        <v>1007</v>
      </c>
      <c r="C68" s="239"/>
      <c r="D68" s="166"/>
      <c r="E68" s="167">
        <v>2519</v>
      </c>
      <c r="F68" s="167">
        <v>2403</v>
      </c>
      <c r="G68" s="166" t="s">
        <v>369</v>
      </c>
      <c r="H68" s="167">
        <v>2593</v>
      </c>
      <c r="I68" s="166">
        <v>2474</v>
      </c>
      <c r="J68" s="71" t="s">
        <v>370</v>
      </c>
      <c r="K68" s="235"/>
      <c r="L68" s="235"/>
      <c r="M68" s="235"/>
      <c r="O68" s="72">
        <f t="shared" si="0"/>
        <v>2519</v>
      </c>
      <c r="P68" s="73">
        <f t="shared" si="1"/>
        <v>2403</v>
      </c>
      <c r="Q68" s="73">
        <f t="shared" si="2"/>
        <v>2461</v>
      </c>
      <c r="R68" s="73">
        <f t="shared" si="3"/>
        <v>2593</v>
      </c>
      <c r="S68" s="73">
        <f t="shared" si="4"/>
        <v>2474</v>
      </c>
      <c r="T68" s="73">
        <f t="shared" si="5"/>
        <v>2533.5</v>
      </c>
      <c r="AP68" s="192">
        <v>3866.25</v>
      </c>
      <c r="AQ68" s="192">
        <v>-2.4571613320400905E-3</v>
      </c>
      <c r="AR68" s="192">
        <v>3871</v>
      </c>
      <c r="AS68" s="192">
        <v>3861.5</v>
      </c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</row>
    <row r="69" spans="2:55" ht="18" customHeight="1" x14ac:dyDescent="0.25">
      <c r="B69" s="239">
        <v>1008</v>
      </c>
      <c r="C69" s="239"/>
      <c r="D69" s="166"/>
      <c r="E69" s="167">
        <v>1867</v>
      </c>
      <c r="F69" s="166">
        <v>1737</v>
      </c>
      <c r="G69" s="166" t="s">
        <v>369</v>
      </c>
      <c r="H69" s="166">
        <v>1880</v>
      </c>
      <c r="I69" s="166">
        <v>1836</v>
      </c>
      <c r="J69" s="71" t="s">
        <v>370</v>
      </c>
      <c r="K69" s="235"/>
      <c r="L69" s="235"/>
      <c r="M69" s="235"/>
      <c r="O69" s="72">
        <f t="shared" si="0"/>
        <v>1867</v>
      </c>
      <c r="P69" s="73">
        <f t="shared" si="1"/>
        <v>1737</v>
      </c>
      <c r="Q69" s="73">
        <f t="shared" si="2"/>
        <v>1802</v>
      </c>
      <c r="R69" s="73">
        <f t="shared" si="3"/>
        <v>1880</v>
      </c>
      <c r="S69" s="73">
        <f t="shared" si="4"/>
        <v>1836</v>
      </c>
      <c r="T69" s="73">
        <f t="shared" si="5"/>
        <v>1858</v>
      </c>
      <c r="AC69" s="46"/>
      <c r="AP69" s="192">
        <v>2497.25</v>
      </c>
      <c r="AQ69" s="192">
        <v>2.9031935128641505E-2</v>
      </c>
      <c r="AR69" s="192">
        <v>2461</v>
      </c>
      <c r="AS69" s="192">
        <v>2533.5</v>
      </c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</row>
    <row r="70" spans="2:55" ht="18" customHeight="1" x14ac:dyDescent="0.25">
      <c r="B70" s="239">
        <v>1009</v>
      </c>
      <c r="C70" s="239"/>
      <c r="D70" s="166"/>
      <c r="E70" s="167">
        <v>1565</v>
      </c>
      <c r="F70" s="167">
        <v>1650</v>
      </c>
      <c r="G70" s="166" t="s">
        <v>369</v>
      </c>
      <c r="H70" s="167">
        <v>1622</v>
      </c>
      <c r="I70" s="166">
        <v>1650</v>
      </c>
      <c r="J70" s="71" t="s">
        <v>370</v>
      </c>
      <c r="K70" s="235"/>
      <c r="L70" s="235"/>
      <c r="M70" s="235"/>
      <c r="O70" s="72">
        <f t="shared" si="0"/>
        <v>1565</v>
      </c>
      <c r="P70" s="73">
        <f t="shared" si="1"/>
        <v>1650</v>
      </c>
      <c r="Q70" s="73">
        <f t="shared" si="2"/>
        <v>1607.5</v>
      </c>
      <c r="R70" s="73">
        <f t="shared" si="3"/>
        <v>1622</v>
      </c>
      <c r="S70" s="73">
        <f t="shared" si="4"/>
        <v>1650</v>
      </c>
      <c r="T70" s="73">
        <f t="shared" si="5"/>
        <v>1636</v>
      </c>
      <c r="AC70" s="46"/>
      <c r="AP70" s="192">
        <v>1830</v>
      </c>
      <c r="AQ70" s="192">
        <v>3.0601092896174863E-2</v>
      </c>
      <c r="AR70" s="192">
        <v>1802</v>
      </c>
      <c r="AS70" s="192">
        <v>1858</v>
      </c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</row>
    <row r="71" spans="2:55" ht="18" customHeight="1" x14ac:dyDescent="0.25">
      <c r="B71" s="239">
        <v>1010</v>
      </c>
      <c r="C71" s="239"/>
      <c r="D71" s="166"/>
      <c r="E71" s="167">
        <v>4267</v>
      </c>
      <c r="F71" s="167">
        <v>4391</v>
      </c>
      <c r="G71" s="166" t="s">
        <v>369</v>
      </c>
      <c r="H71" s="167">
        <v>4282</v>
      </c>
      <c r="I71" s="166">
        <v>4401</v>
      </c>
      <c r="J71" s="71" t="s">
        <v>370</v>
      </c>
      <c r="K71" s="235"/>
      <c r="L71" s="235"/>
      <c r="M71" s="235"/>
      <c r="O71" s="72">
        <f t="shared" si="0"/>
        <v>4267</v>
      </c>
      <c r="P71" s="73">
        <f t="shared" si="1"/>
        <v>4391</v>
      </c>
      <c r="Q71" s="73">
        <f t="shared" si="2"/>
        <v>4329</v>
      </c>
      <c r="R71" s="73">
        <f t="shared" si="3"/>
        <v>4282</v>
      </c>
      <c r="S71" s="73">
        <f t="shared" si="4"/>
        <v>4401</v>
      </c>
      <c r="T71" s="73">
        <f t="shared" si="5"/>
        <v>4341.5</v>
      </c>
      <c r="AP71" s="192">
        <v>1621.75</v>
      </c>
      <c r="AQ71" s="192">
        <v>1.7573608755973486E-2</v>
      </c>
      <c r="AR71" s="192">
        <v>1607.5</v>
      </c>
      <c r="AS71" s="192">
        <v>1636</v>
      </c>
      <c r="AT71" s="192"/>
      <c r="AU71" s="192"/>
      <c r="AV71" s="192">
        <v>408.5</v>
      </c>
      <c r="AW71" s="192">
        <v>408.5</v>
      </c>
      <c r="AX71" s="192">
        <v>408.5</v>
      </c>
      <c r="AY71" s="192">
        <v>465.2344989898815</v>
      </c>
      <c r="AZ71" s="192">
        <v>100</v>
      </c>
      <c r="BA71" s="192">
        <v>110</v>
      </c>
      <c r="BB71" s="192">
        <v>100</v>
      </c>
      <c r="BC71" s="192">
        <v>90</v>
      </c>
    </row>
    <row r="72" spans="2:55" ht="18" customHeight="1" x14ac:dyDescent="0.25">
      <c r="B72" s="239">
        <v>1011</v>
      </c>
      <c r="C72" s="239"/>
      <c r="D72" s="166"/>
      <c r="E72" s="167">
        <v>7862</v>
      </c>
      <c r="F72" s="167">
        <v>7961</v>
      </c>
      <c r="G72" s="166" t="s">
        <v>369</v>
      </c>
      <c r="H72" s="167">
        <v>8076</v>
      </c>
      <c r="I72" s="166">
        <v>8294</v>
      </c>
      <c r="J72" s="71" t="s">
        <v>370</v>
      </c>
      <c r="K72" s="235"/>
      <c r="L72" s="235"/>
      <c r="M72" s="235"/>
      <c r="O72" s="72">
        <f t="shared" si="0"/>
        <v>7862</v>
      </c>
      <c r="P72" s="73">
        <f t="shared" si="1"/>
        <v>7961</v>
      </c>
      <c r="Q72" s="73">
        <f t="shared" si="2"/>
        <v>7911.5</v>
      </c>
      <c r="R72" s="73">
        <f t="shared" si="3"/>
        <v>8076</v>
      </c>
      <c r="S72" s="73">
        <f t="shared" si="4"/>
        <v>8294</v>
      </c>
      <c r="T72" s="73">
        <f t="shared" si="5"/>
        <v>8185</v>
      </c>
      <c r="AP72" s="192">
        <v>4335.25</v>
      </c>
      <c r="AQ72" s="192">
        <v>2.8833400611268092E-3</v>
      </c>
      <c r="AR72" s="192">
        <v>4329</v>
      </c>
      <c r="AS72" s="192">
        <v>4341.5</v>
      </c>
      <c r="AT72" s="192"/>
      <c r="AU72" s="192"/>
      <c r="AV72" s="192">
        <v>17859</v>
      </c>
      <c r="AW72" s="192">
        <v>17859</v>
      </c>
      <c r="AX72" s="192">
        <v>17859</v>
      </c>
      <c r="AY72" s="192">
        <v>17894.649250210412</v>
      </c>
      <c r="AZ72" s="192">
        <v>17859</v>
      </c>
      <c r="BA72" s="192">
        <v>19644.900000000001</v>
      </c>
      <c r="BB72" s="192">
        <v>17859</v>
      </c>
      <c r="BC72" s="192">
        <v>16073.1</v>
      </c>
    </row>
    <row r="73" spans="2:55" ht="18" customHeight="1" x14ac:dyDescent="0.25">
      <c r="B73" s="239">
        <v>1012</v>
      </c>
      <c r="C73" s="239"/>
      <c r="D73" s="166"/>
      <c r="E73" s="167">
        <v>1831</v>
      </c>
      <c r="F73" s="167">
        <v>1766</v>
      </c>
      <c r="G73" s="166" t="s">
        <v>369</v>
      </c>
      <c r="H73" s="167">
        <v>1813</v>
      </c>
      <c r="I73" s="166">
        <v>1694</v>
      </c>
      <c r="J73" s="71" t="s">
        <v>370</v>
      </c>
      <c r="K73" s="235"/>
      <c r="L73" s="235"/>
      <c r="M73" s="235"/>
      <c r="O73" s="72">
        <f t="shared" si="0"/>
        <v>1831</v>
      </c>
      <c r="P73" s="73">
        <f t="shared" si="1"/>
        <v>1766</v>
      </c>
      <c r="Q73" s="73">
        <f t="shared" si="2"/>
        <v>1798.5</v>
      </c>
      <c r="R73" s="73">
        <f t="shared" si="3"/>
        <v>1813</v>
      </c>
      <c r="S73" s="73">
        <f t="shared" si="4"/>
        <v>1694</v>
      </c>
      <c r="T73" s="73">
        <f t="shared" si="5"/>
        <v>1753.5</v>
      </c>
      <c r="AC73" s="46"/>
      <c r="AP73" s="192">
        <v>8048.25</v>
      </c>
      <c r="AQ73" s="192">
        <v>3.3982542788805019E-2</v>
      </c>
      <c r="AR73" s="192">
        <v>7911.5</v>
      </c>
      <c r="AS73" s="192">
        <v>8185</v>
      </c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</row>
    <row r="74" spans="2:55" ht="18" customHeight="1" x14ac:dyDescent="0.25">
      <c r="B74" s="239">
        <v>1013</v>
      </c>
      <c r="C74" s="239"/>
      <c r="D74" s="166"/>
      <c r="E74" s="167">
        <v>6651</v>
      </c>
      <c r="F74" s="166">
        <v>6357</v>
      </c>
      <c r="G74" s="166" t="s">
        <v>369</v>
      </c>
      <c r="H74" s="166">
        <v>6805</v>
      </c>
      <c r="I74" s="166">
        <v>6781</v>
      </c>
      <c r="J74" s="71" t="s">
        <v>370</v>
      </c>
      <c r="K74" s="235"/>
      <c r="L74" s="235"/>
      <c r="M74" s="235"/>
      <c r="O74" s="72">
        <f t="shared" si="0"/>
        <v>6651</v>
      </c>
      <c r="P74" s="73">
        <f t="shared" si="1"/>
        <v>6357</v>
      </c>
      <c r="Q74" s="73">
        <f t="shared" si="2"/>
        <v>6504</v>
      </c>
      <c r="R74" s="73">
        <f t="shared" si="3"/>
        <v>6805</v>
      </c>
      <c r="S74" s="73">
        <f t="shared" si="4"/>
        <v>6781</v>
      </c>
      <c r="T74" s="73">
        <f t="shared" si="5"/>
        <v>6793</v>
      </c>
      <c r="AC74" s="46"/>
      <c r="AP74" s="192">
        <v>1776</v>
      </c>
      <c r="AQ74" s="192">
        <v>-2.5337837837837839E-2</v>
      </c>
      <c r="AR74" s="192">
        <v>1798.5</v>
      </c>
      <c r="AS74" s="192">
        <v>1753.5</v>
      </c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</row>
    <row r="75" spans="2:55" ht="18" customHeight="1" x14ac:dyDescent="0.25">
      <c r="B75" s="239">
        <v>1014</v>
      </c>
      <c r="C75" s="239"/>
      <c r="D75" s="166"/>
      <c r="E75" s="11">
        <v>9130</v>
      </c>
      <c r="F75" s="167">
        <v>9883</v>
      </c>
      <c r="G75" s="166" t="s">
        <v>369</v>
      </c>
      <c r="H75" s="167">
        <v>9275</v>
      </c>
      <c r="I75" s="166">
        <v>8837</v>
      </c>
      <c r="J75" s="71" t="s">
        <v>370</v>
      </c>
      <c r="K75" s="235"/>
      <c r="L75" s="235"/>
      <c r="M75" s="235"/>
      <c r="O75" s="72">
        <f t="shared" si="0"/>
        <v>9130</v>
      </c>
      <c r="P75" s="73">
        <f t="shared" si="1"/>
        <v>9883</v>
      </c>
      <c r="Q75" s="73">
        <f t="shared" si="2"/>
        <v>9506.5</v>
      </c>
      <c r="R75" s="73">
        <f t="shared" si="3"/>
        <v>9275</v>
      </c>
      <c r="S75" s="73">
        <f t="shared" si="4"/>
        <v>8837</v>
      </c>
      <c r="T75" s="73">
        <f t="shared" si="5"/>
        <v>9056</v>
      </c>
      <c r="AC75" s="46"/>
      <c r="AP75" s="192">
        <v>6648.5</v>
      </c>
      <c r="AQ75" s="192">
        <v>4.3468451530420393E-2</v>
      </c>
      <c r="AR75" s="192">
        <v>6504</v>
      </c>
      <c r="AS75" s="192">
        <v>6793</v>
      </c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</row>
    <row r="76" spans="2:55" ht="18" customHeight="1" x14ac:dyDescent="0.25">
      <c r="B76" s="239">
        <v>1015</v>
      </c>
      <c r="C76" s="239"/>
      <c r="D76" s="166"/>
      <c r="E76" s="11">
        <v>4837</v>
      </c>
      <c r="F76" s="167">
        <v>4725</v>
      </c>
      <c r="G76" s="166" t="s">
        <v>369</v>
      </c>
      <c r="H76" s="167">
        <v>4877</v>
      </c>
      <c r="I76" s="166">
        <v>4572</v>
      </c>
      <c r="J76" s="71" t="s">
        <v>370</v>
      </c>
      <c r="K76" s="235"/>
      <c r="L76" s="235"/>
      <c r="M76" s="235"/>
      <c r="O76" s="72">
        <f t="shared" si="0"/>
        <v>4837</v>
      </c>
      <c r="P76" s="73">
        <f t="shared" si="1"/>
        <v>4725</v>
      </c>
      <c r="Q76" s="73">
        <f t="shared" si="2"/>
        <v>4781</v>
      </c>
      <c r="R76" s="73">
        <f t="shared" si="3"/>
        <v>4877</v>
      </c>
      <c r="S76" s="73">
        <f t="shared" si="4"/>
        <v>4572</v>
      </c>
      <c r="T76" s="73">
        <f t="shared" si="5"/>
        <v>4724.5</v>
      </c>
      <c r="AP76" s="192">
        <v>9281.25</v>
      </c>
      <c r="AQ76" s="192">
        <v>-4.8538720538720541E-2</v>
      </c>
      <c r="AR76" s="192">
        <v>9506.5</v>
      </c>
      <c r="AS76" s="192">
        <v>9056</v>
      </c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</row>
    <row r="77" spans="2:55" ht="18" customHeight="1" x14ac:dyDescent="0.25">
      <c r="B77" s="239">
        <v>1016</v>
      </c>
      <c r="C77" s="239"/>
      <c r="D77" s="166"/>
      <c r="E77" s="11">
        <v>2059</v>
      </c>
      <c r="F77" s="166">
        <v>2185</v>
      </c>
      <c r="G77" s="166" t="s">
        <v>369</v>
      </c>
      <c r="H77" s="166">
        <v>2146</v>
      </c>
      <c r="I77" s="166">
        <v>2121</v>
      </c>
      <c r="J77" s="71" t="s">
        <v>370</v>
      </c>
      <c r="K77" s="235"/>
      <c r="L77" s="235"/>
      <c r="M77" s="235"/>
      <c r="O77" s="72">
        <f t="shared" si="0"/>
        <v>2059</v>
      </c>
      <c r="P77" s="73">
        <f t="shared" si="1"/>
        <v>2185</v>
      </c>
      <c r="Q77" s="73">
        <f t="shared" si="2"/>
        <v>2122</v>
      </c>
      <c r="R77" s="73">
        <f t="shared" si="3"/>
        <v>2146</v>
      </c>
      <c r="S77" s="73">
        <f t="shared" si="4"/>
        <v>2121</v>
      </c>
      <c r="T77" s="73">
        <f t="shared" si="5"/>
        <v>2133.5</v>
      </c>
      <c r="AP77" s="192">
        <v>4752.75</v>
      </c>
      <c r="AQ77" s="192">
        <v>-1.1887854400084162E-2</v>
      </c>
      <c r="AR77" s="192">
        <v>4781</v>
      </c>
      <c r="AS77" s="192">
        <v>4724.5</v>
      </c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</row>
    <row r="78" spans="2:55" ht="18" customHeight="1" x14ac:dyDescent="0.25">
      <c r="B78" s="239">
        <v>1017</v>
      </c>
      <c r="C78" s="239"/>
      <c r="D78" s="166"/>
      <c r="E78" s="167">
        <v>17052</v>
      </c>
      <c r="F78" s="167">
        <v>18666</v>
      </c>
      <c r="G78" s="166" t="s">
        <v>369</v>
      </c>
      <c r="H78" s="167">
        <v>16905</v>
      </c>
      <c r="I78" s="166">
        <v>16248</v>
      </c>
      <c r="J78" s="71" t="s">
        <v>370</v>
      </c>
      <c r="K78" s="235"/>
      <c r="L78" s="235"/>
      <c r="M78" s="235"/>
      <c r="O78" s="72">
        <f t="shared" si="0"/>
        <v>17052</v>
      </c>
      <c r="P78" s="73">
        <f t="shared" si="1"/>
        <v>18666</v>
      </c>
      <c r="Q78" s="73">
        <f t="shared" si="2"/>
        <v>17859</v>
      </c>
      <c r="R78" s="73">
        <f t="shared" si="3"/>
        <v>16905</v>
      </c>
      <c r="S78" s="73">
        <f t="shared" si="4"/>
        <v>16248</v>
      </c>
      <c r="T78" s="73">
        <f t="shared" si="5"/>
        <v>16576.5</v>
      </c>
      <c r="AP78" s="192">
        <v>2127.75</v>
      </c>
      <c r="AQ78" s="192">
        <v>5.4047702972623663E-3</v>
      </c>
      <c r="AR78" s="192">
        <v>2122</v>
      </c>
      <c r="AS78" s="192">
        <v>2133.5</v>
      </c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</row>
    <row r="79" spans="2:55" ht="18" customHeight="1" x14ac:dyDescent="0.25">
      <c r="B79" s="239">
        <v>1018</v>
      </c>
      <c r="C79" s="239"/>
      <c r="D79" s="166"/>
      <c r="E79" s="11">
        <v>7365</v>
      </c>
      <c r="F79" s="167">
        <v>6763</v>
      </c>
      <c r="G79" s="166" t="s">
        <v>369</v>
      </c>
      <c r="H79" s="167">
        <v>7259</v>
      </c>
      <c r="I79" s="166">
        <v>6954</v>
      </c>
      <c r="J79" s="71" t="s">
        <v>370</v>
      </c>
      <c r="K79" s="235"/>
      <c r="L79" s="235"/>
      <c r="M79" s="235"/>
      <c r="O79" s="72">
        <f t="shared" si="0"/>
        <v>7365</v>
      </c>
      <c r="P79" s="73">
        <f t="shared" si="1"/>
        <v>6763</v>
      </c>
      <c r="Q79" s="73">
        <f t="shared" si="2"/>
        <v>7064</v>
      </c>
      <c r="R79" s="73">
        <f t="shared" si="3"/>
        <v>7259</v>
      </c>
      <c r="S79" s="73">
        <f t="shared" si="4"/>
        <v>6954</v>
      </c>
      <c r="T79" s="73">
        <f t="shared" si="5"/>
        <v>7106.5</v>
      </c>
      <c r="AD79" s="74"/>
      <c r="AE79" s="74"/>
      <c r="AF79" s="74"/>
      <c r="AG79" s="74"/>
      <c r="AH79" s="74"/>
      <c r="AI79" s="74"/>
      <c r="AP79" s="192">
        <v>17217.75</v>
      </c>
      <c r="AQ79" s="192">
        <v>-7.4487084549374916E-2</v>
      </c>
      <c r="AR79" s="192">
        <v>17859</v>
      </c>
      <c r="AS79" s="192">
        <v>16576.5</v>
      </c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</row>
    <row r="80" spans="2:55" ht="18" customHeight="1" x14ac:dyDescent="0.25">
      <c r="B80" s="239">
        <v>1019</v>
      </c>
      <c r="C80" s="239"/>
      <c r="D80" s="166"/>
      <c r="E80" s="167">
        <v>940</v>
      </c>
      <c r="F80" s="167">
        <v>987</v>
      </c>
      <c r="G80" s="166" t="s">
        <v>369</v>
      </c>
      <c r="H80" s="167">
        <v>996</v>
      </c>
      <c r="I80" s="166">
        <v>977</v>
      </c>
      <c r="J80" s="71" t="s">
        <v>370</v>
      </c>
      <c r="K80" s="235"/>
      <c r="L80" s="235"/>
      <c r="M80" s="235"/>
      <c r="O80" s="72">
        <f t="shared" si="0"/>
        <v>940</v>
      </c>
      <c r="P80" s="73">
        <f t="shared" si="1"/>
        <v>987</v>
      </c>
      <c r="Q80" s="73">
        <f t="shared" si="2"/>
        <v>963.5</v>
      </c>
      <c r="R80" s="73">
        <f t="shared" si="3"/>
        <v>996</v>
      </c>
      <c r="S80" s="73">
        <f t="shared" si="4"/>
        <v>977</v>
      </c>
      <c r="T80" s="73">
        <f t="shared" si="5"/>
        <v>986.5</v>
      </c>
      <c r="AD80" s="74"/>
      <c r="AE80" s="74"/>
      <c r="AF80" s="74"/>
      <c r="AG80" s="74"/>
      <c r="AH80" s="74"/>
      <c r="AI80" s="74"/>
      <c r="AP80" s="192">
        <v>7085.25</v>
      </c>
      <c r="AQ80" s="192">
        <v>5.9983769097773547E-3</v>
      </c>
      <c r="AR80" s="192">
        <v>7064</v>
      </c>
      <c r="AS80" s="192">
        <v>7106.5</v>
      </c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</row>
    <row r="81" spans="2:55" ht="18" customHeight="1" x14ac:dyDescent="0.25">
      <c r="B81" s="239">
        <v>1020</v>
      </c>
      <c r="C81" s="239"/>
      <c r="D81" s="166"/>
      <c r="E81" s="167">
        <v>434</v>
      </c>
      <c r="F81" s="166">
        <v>383</v>
      </c>
      <c r="G81" s="166" t="s">
        <v>369</v>
      </c>
      <c r="H81" s="166">
        <v>456</v>
      </c>
      <c r="I81" s="166">
        <v>506</v>
      </c>
      <c r="J81" s="71" t="s">
        <v>370</v>
      </c>
      <c r="K81" s="235"/>
      <c r="L81" s="235"/>
      <c r="M81" s="235"/>
      <c r="O81" s="72">
        <f t="shared" si="0"/>
        <v>434</v>
      </c>
      <c r="P81" s="73">
        <f t="shared" si="1"/>
        <v>383</v>
      </c>
      <c r="Q81" s="73">
        <f t="shared" si="2"/>
        <v>408.5</v>
      </c>
      <c r="R81" s="73">
        <f t="shared" si="3"/>
        <v>456</v>
      </c>
      <c r="S81" s="73">
        <f t="shared" si="4"/>
        <v>506</v>
      </c>
      <c r="T81" s="73">
        <f t="shared" si="5"/>
        <v>481</v>
      </c>
      <c r="AD81" s="74"/>
      <c r="AE81" s="74"/>
      <c r="AF81" s="74"/>
      <c r="AG81" s="74"/>
      <c r="AH81" s="74"/>
      <c r="AI81" s="74"/>
      <c r="AP81" s="192">
        <v>975</v>
      </c>
      <c r="AQ81" s="192">
        <v>2.3589743589743591E-2</v>
      </c>
      <c r="AR81" s="192">
        <v>963.5</v>
      </c>
      <c r="AS81" s="192">
        <v>986.5</v>
      </c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</row>
    <row r="82" spans="2:55" ht="18" customHeight="1" x14ac:dyDescent="0.25">
      <c r="B82" s="239">
        <v>1021</v>
      </c>
      <c r="C82" s="239"/>
      <c r="D82" s="166"/>
      <c r="E82" s="167">
        <v>5693</v>
      </c>
      <c r="F82" s="166">
        <v>5553</v>
      </c>
      <c r="G82" s="166" t="s">
        <v>369</v>
      </c>
      <c r="H82" s="166">
        <v>5677</v>
      </c>
      <c r="I82" s="166">
        <v>5529</v>
      </c>
      <c r="J82" s="71" t="s">
        <v>370</v>
      </c>
      <c r="K82" s="235"/>
      <c r="L82" s="235"/>
      <c r="M82" s="235"/>
      <c r="O82" s="72">
        <f t="shared" si="0"/>
        <v>5693</v>
      </c>
      <c r="P82" s="73">
        <f t="shared" si="1"/>
        <v>5553</v>
      </c>
      <c r="Q82" s="73">
        <f t="shared" si="2"/>
        <v>5623</v>
      </c>
      <c r="R82" s="73">
        <f t="shared" si="3"/>
        <v>5677</v>
      </c>
      <c r="S82" s="73">
        <f t="shared" si="4"/>
        <v>5529</v>
      </c>
      <c r="T82" s="73">
        <f t="shared" si="5"/>
        <v>5603</v>
      </c>
      <c r="AD82" s="74"/>
      <c r="AE82" s="74"/>
      <c r="AF82" s="74"/>
      <c r="AG82" s="74"/>
      <c r="AH82" s="74"/>
      <c r="AI82" s="74"/>
      <c r="AP82" s="192">
        <v>444.75</v>
      </c>
      <c r="AQ82" s="192">
        <v>0.16301292861157954</v>
      </c>
      <c r="AR82" s="192">
        <v>408.5</v>
      </c>
      <c r="AS82" s="192">
        <v>481</v>
      </c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</row>
    <row r="83" spans="2:55" ht="18" customHeight="1" x14ac:dyDescent="0.25">
      <c r="B83" s="239">
        <v>1022</v>
      </c>
      <c r="C83" s="239"/>
      <c r="D83" s="166"/>
      <c r="E83" s="167">
        <v>4987</v>
      </c>
      <c r="F83" s="167">
        <v>4860</v>
      </c>
      <c r="G83" s="166" t="s">
        <v>369</v>
      </c>
      <c r="H83" s="167">
        <v>5071</v>
      </c>
      <c r="I83" s="166">
        <v>5021</v>
      </c>
      <c r="J83" s="71" t="s">
        <v>370</v>
      </c>
      <c r="K83" s="235"/>
      <c r="L83" s="235"/>
      <c r="M83" s="235"/>
      <c r="O83" s="72">
        <f t="shared" si="0"/>
        <v>4987</v>
      </c>
      <c r="P83" s="73">
        <f t="shared" si="1"/>
        <v>4860</v>
      </c>
      <c r="Q83" s="73">
        <f t="shared" si="2"/>
        <v>4923.5</v>
      </c>
      <c r="R83" s="73">
        <f t="shared" si="3"/>
        <v>5071</v>
      </c>
      <c r="S83" s="73">
        <f t="shared" si="4"/>
        <v>5021</v>
      </c>
      <c r="T83" s="73">
        <f t="shared" si="5"/>
        <v>5046</v>
      </c>
      <c r="AD83" s="74"/>
      <c r="AE83" s="74"/>
      <c r="AF83" s="74"/>
      <c r="AG83" s="74"/>
      <c r="AH83" s="74"/>
      <c r="AI83" s="74"/>
      <c r="AP83" s="192">
        <v>5613</v>
      </c>
      <c r="AQ83" s="192">
        <v>-3.5631569570639585E-3</v>
      </c>
      <c r="AR83" s="192">
        <v>5623</v>
      </c>
      <c r="AS83" s="192">
        <v>5603</v>
      </c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</row>
    <row r="84" spans="2:55" ht="18" customHeight="1" x14ac:dyDescent="0.25">
      <c r="B84" s="239">
        <v>1023</v>
      </c>
      <c r="C84" s="239"/>
      <c r="D84" s="166"/>
      <c r="E84" s="167">
        <v>2754</v>
      </c>
      <c r="F84" s="167">
        <v>2736</v>
      </c>
      <c r="G84" s="166" t="s">
        <v>369</v>
      </c>
      <c r="H84" s="167">
        <v>2873</v>
      </c>
      <c r="I84" s="166">
        <v>2726</v>
      </c>
      <c r="J84" s="71" t="s">
        <v>370</v>
      </c>
      <c r="K84" s="235"/>
      <c r="L84" s="235"/>
      <c r="M84" s="235"/>
      <c r="O84" s="72">
        <f t="shared" si="0"/>
        <v>2754</v>
      </c>
      <c r="P84" s="73">
        <f t="shared" si="1"/>
        <v>2736</v>
      </c>
      <c r="Q84" s="73">
        <f t="shared" si="2"/>
        <v>2745</v>
      </c>
      <c r="R84" s="73">
        <f t="shared" si="3"/>
        <v>2873</v>
      </c>
      <c r="S84" s="73">
        <f t="shared" si="4"/>
        <v>2726</v>
      </c>
      <c r="T84" s="73">
        <f t="shared" si="5"/>
        <v>2799.5</v>
      </c>
      <c r="AD84" s="74"/>
      <c r="AE84" s="74"/>
      <c r="AF84" s="74"/>
      <c r="AG84" s="74"/>
      <c r="AH84" s="74"/>
      <c r="AI84" s="74"/>
      <c r="AP84" s="192">
        <v>4984.75</v>
      </c>
      <c r="AQ84" s="192">
        <v>2.4574953608505944E-2</v>
      </c>
      <c r="AR84" s="192">
        <v>4923.5</v>
      </c>
      <c r="AS84" s="192">
        <v>5046</v>
      </c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</row>
    <row r="85" spans="2:55" ht="18" customHeight="1" x14ac:dyDescent="0.25">
      <c r="B85" s="239">
        <v>1024</v>
      </c>
      <c r="C85" s="239"/>
      <c r="D85" s="166"/>
      <c r="E85" s="167">
        <v>1725</v>
      </c>
      <c r="F85" s="167">
        <v>1752</v>
      </c>
      <c r="G85" s="166" t="s">
        <v>369</v>
      </c>
      <c r="H85" s="167">
        <v>1775</v>
      </c>
      <c r="I85" s="166">
        <v>1668</v>
      </c>
      <c r="J85" s="71" t="s">
        <v>370</v>
      </c>
      <c r="K85" s="235"/>
      <c r="L85" s="235"/>
      <c r="M85" s="235"/>
      <c r="O85" s="72">
        <f t="shared" si="0"/>
        <v>1725</v>
      </c>
      <c r="P85" s="73">
        <f t="shared" si="1"/>
        <v>1752</v>
      </c>
      <c r="Q85" s="73">
        <f t="shared" si="2"/>
        <v>1738.5</v>
      </c>
      <c r="R85" s="73">
        <f t="shared" si="3"/>
        <v>1775</v>
      </c>
      <c r="S85" s="73">
        <f t="shared" si="4"/>
        <v>1668</v>
      </c>
      <c r="T85" s="73">
        <f t="shared" si="5"/>
        <v>1721.5</v>
      </c>
      <c r="AP85" s="192">
        <v>2772.25</v>
      </c>
      <c r="AQ85" s="192">
        <v>1.9659121652087653E-2</v>
      </c>
      <c r="AR85" s="192">
        <v>2745</v>
      </c>
      <c r="AS85" s="192">
        <v>2799.5</v>
      </c>
      <c r="AT85" s="192"/>
      <c r="AU85" s="192"/>
      <c r="AV85" s="192"/>
      <c r="AW85" s="192"/>
      <c r="AX85" s="192"/>
      <c r="AY85" s="192"/>
      <c r="AZ85" s="192"/>
      <c r="BA85" s="192"/>
      <c r="BB85" s="192"/>
      <c r="BC85" s="192"/>
    </row>
    <row r="86" spans="2:55" ht="18" customHeight="1" x14ac:dyDescent="0.25">
      <c r="B86" s="239">
        <v>1025</v>
      </c>
      <c r="C86" s="239"/>
      <c r="D86" s="166"/>
      <c r="E86" s="167">
        <v>7192</v>
      </c>
      <c r="F86" s="167">
        <v>6922</v>
      </c>
      <c r="G86" s="166" t="s">
        <v>369</v>
      </c>
      <c r="H86" s="167">
        <v>7454</v>
      </c>
      <c r="I86" s="166">
        <v>7641</v>
      </c>
      <c r="J86" s="71" t="s">
        <v>370</v>
      </c>
      <c r="K86" s="235"/>
      <c r="L86" s="235"/>
      <c r="M86" s="235"/>
      <c r="O86" s="72">
        <f t="shared" si="0"/>
        <v>7192</v>
      </c>
      <c r="P86" s="73">
        <f t="shared" si="1"/>
        <v>6922</v>
      </c>
      <c r="Q86" s="73">
        <f t="shared" si="2"/>
        <v>7057</v>
      </c>
      <c r="R86" s="73">
        <f t="shared" si="3"/>
        <v>7454</v>
      </c>
      <c r="S86" s="73">
        <f t="shared" si="4"/>
        <v>7641</v>
      </c>
      <c r="T86" s="73">
        <f t="shared" si="5"/>
        <v>7547.5</v>
      </c>
      <c r="AP86" s="192">
        <v>1730</v>
      </c>
      <c r="AQ86" s="192">
        <v>-9.8265895953757228E-3</v>
      </c>
      <c r="AR86" s="192">
        <v>1738.5</v>
      </c>
      <c r="AS86" s="192">
        <v>1721.5</v>
      </c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</row>
    <row r="87" spans="2:55" ht="18" customHeight="1" x14ac:dyDescent="0.25">
      <c r="B87" s="239">
        <v>1026</v>
      </c>
      <c r="C87" s="239"/>
      <c r="D87" s="166"/>
      <c r="E87" s="167">
        <v>3024</v>
      </c>
      <c r="F87" s="167">
        <v>2979</v>
      </c>
      <c r="G87" s="166" t="s">
        <v>369</v>
      </c>
      <c r="H87" s="167">
        <v>3058</v>
      </c>
      <c r="I87" s="166">
        <v>2961</v>
      </c>
      <c r="J87" s="71" t="s">
        <v>370</v>
      </c>
      <c r="K87" s="235"/>
      <c r="L87" s="235"/>
      <c r="M87" s="235"/>
      <c r="O87" s="72">
        <f t="shared" si="0"/>
        <v>3024</v>
      </c>
      <c r="P87" s="73">
        <f t="shared" si="1"/>
        <v>2979</v>
      </c>
      <c r="Q87" s="73">
        <f t="shared" si="2"/>
        <v>3001.5</v>
      </c>
      <c r="R87" s="73">
        <f t="shared" si="3"/>
        <v>3058</v>
      </c>
      <c r="S87" s="73">
        <f t="shared" si="4"/>
        <v>2961</v>
      </c>
      <c r="T87" s="73">
        <f t="shared" si="5"/>
        <v>3009.5</v>
      </c>
      <c r="AP87" s="192">
        <v>7302.25</v>
      </c>
      <c r="AQ87" s="192">
        <v>6.7171077407648327E-2</v>
      </c>
      <c r="AR87" s="192">
        <v>7057</v>
      </c>
      <c r="AS87" s="192">
        <v>7547.5</v>
      </c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</row>
    <row r="88" spans="2:55" ht="18" customHeight="1" x14ac:dyDescent="0.25">
      <c r="B88" s="239">
        <v>1027</v>
      </c>
      <c r="C88" s="239"/>
      <c r="D88" s="166"/>
      <c r="E88" s="167">
        <v>903</v>
      </c>
      <c r="F88" s="167">
        <v>888</v>
      </c>
      <c r="G88" s="166" t="s">
        <v>369</v>
      </c>
      <c r="H88" s="167">
        <v>954</v>
      </c>
      <c r="I88" s="166">
        <v>1019</v>
      </c>
      <c r="J88" s="71" t="s">
        <v>370</v>
      </c>
      <c r="K88" s="235"/>
      <c r="L88" s="235"/>
      <c r="M88" s="235"/>
      <c r="O88" s="72">
        <f t="shared" si="0"/>
        <v>903</v>
      </c>
      <c r="P88" s="73">
        <f t="shared" si="1"/>
        <v>888</v>
      </c>
      <c r="Q88" s="73">
        <f t="shared" si="2"/>
        <v>895.5</v>
      </c>
      <c r="R88" s="73">
        <f t="shared" si="3"/>
        <v>954</v>
      </c>
      <c r="S88" s="73">
        <f t="shared" si="4"/>
        <v>1019</v>
      </c>
      <c r="T88" s="73">
        <f t="shared" si="5"/>
        <v>986.5</v>
      </c>
      <c r="AP88" s="192">
        <v>3005.5</v>
      </c>
      <c r="AQ88" s="192">
        <v>2.6617867243387125E-3</v>
      </c>
      <c r="AR88" s="192">
        <v>3001.5</v>
      </c>
      <c r="AS88" s="192">
        <v>3009.5</v>
      </c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</row>
    <row r="89" spans="2:55" ht="18" customHeight="1" x14ac:dyDescent="0.25">
      <c r="B89" s="239">
        <v>1028</v>
      </c>
      <c r="C89" s="239"/>
      <c r="D89" s="166"/>
      <c r="E89" s="167">
        <v>11962</v>
      </c>
      <c r="F89" s="166">
        <v>12349</v>
      </c>
      <c r="G89" s="166" t="s">
        <v>369</v>
      </c>
      <c r="H89" s="166">
        <v>11793</v>
      </c>
      <c r="I89" s="166">
        <v>11631</v>
      </c>
      <c r="J89" s="71" t="s">
        <v>370</v>
      </c>
      <c r="K89" s="235"/>
      <c r="L89" s="235"/>
      <c r="M89" s="235"/>
      <c r="O89" s="72">
        <f t="shared" si="0"/>
        <v>11962</v>
      </c>
      <c r="P89" s="73">
        <f t="shared" si="1"/>
        <v>12349</v>
      </c>
      <c r="Q89" s="73">
        <f t="shared" si="2"/>
        <v>12155.5</v>
      </c>
      <c r="R89" s="73">
        <f t="shared" si="3"/>
        <v>11793</v>
      </c>
      <c r="S89" s="73">
        <f t="shared" si="4"/>
        <v>11631</v>
      </c>
      <c r="T89" s="73">
        <f t="shared" si="5"/>
        <v>11712</v>
      </c>
      <c r="AP89" s="192">
        <v>941</v>
      </c>
      <c r="AQ89" s="192">
        <v>9.6705632306057387E-2</v>
      </c>
      <c r="AR89" s="192">
        <v>895.5</v>
      </c>
      <c r="AS89" s="192">
        <v>986.5</v>
      </c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</row>
    <row r="90" spans="2:55" ht="18" customHeight="1" x14ac:dyDescent="0.25">
      <c r="B90" s="239">
        <v>1029</v>
      </c>
      <c r="C90" s="239"/>
      <c r="D90" s="166"/>
      <c r="E90" s="11">
        <v>1295</v>
      </c>
      <c r="F90" s="167">
        <v>1286</v>
      </c>
      <c r="G90" s="166" t="s">
        <v>369</v>
      </c>
      <c r="H90" s="167">
        <v>1347</v>
      </c>
      <c r="I90" s="166">
        <v>1485</v>
      </c>
      <c r="J90" s="71" t="s">
        <v>370</v>
      </c>
      <c r="K90" s="235"/>
      <c r="L90" s="235"/>
      <c r="M90" s="235"/>
      <c r="O90" s="72">
        <f t="shared" si="0"/>
        <v>1295</v>
      </c>
      <c r="P90" s="73">
        <f t="shared" si="1"/>
        <v>1286</v>
      </c>
      <c r="Q90" s="73">
        <f t="shared" si="2"/>
        <v>1290.5</v>
      </c>
      <c r="R90" s="73">
        <f t="shared" si="3"/>
        <v>1347</v>
      </c>
      <c r="S90" s="73">
        <f t="shared" si="4"/>
        <v>1485</v>
      </c>
      <c r="T90" s="73">
        <f t="shared" si="5"/>
        <v>1416</v>
      </c>
      <c r="AP90" s="192">
        <v>11933.75</v>
      </c>
      <c r="AQ90" s="192">
        <v>-3.716350686079397E-2</v>
      </c>
      <c r="AR90" s="192">
        <v>12155.5</v>
      </c>
      <c r="AS90" s="192">
        <v>11712</v>
      </c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</row>
    <row r="91" spans="2:55" ht="18" customHeight="1" x14ac:dyDescent="0.25">
      <c r="B91" s="239">
        <v>1030</v>
      </c>
      <c r="C91" s="239"/>
      <c r="D91" s="166"/>
      <c r="E91" s="167">
        <v>948</v>
      </c>
      <c r="F91" s="167">
        <v>938</v>
      </c>
      <c r="G91" s="166" t="s">
        <v>369</v>
      </c>
      <c r="H91" s="167">
        <v>1000</v>
      </c>
      <c r="I91" s="166">
        <v>997</v>
      </c>
      <c r="J91" s="71" t="s">
        <v>370</v>
      </c>
      <c r="K91" s="235"/>
      <c r="L91" s="235"/>
      <c r="M91" s="235"/>
      <c r="O91" s="72">
        <f t="shared" si="0"/>
        <v>948</v>
      </c>
      <c r="P91" s="73">
        <f t="shared" si="1"/>
        <v>938</v>
      </c>
      <c r="Q91" s="73">
        <f t="shared" si="2"/>
        <v>943</v>
      </c>
      <c r="R91" s="73">
        <f t="shared" si="3"/>
        <v>1000</v>
      </c>
      <c r="S91" s="73">
        <f t="shared" si="4"/>
        <v>997</v>
      </c>
      <c r="T91" s="73">
        <f t="shared" si="5"/>
        <v>998.5</v>
      </c>
      <c r="AP91" s="192">
        <v>1353.25</v>
      </c>
      <c r="AQ91" s="192">
        <v>9.2739700720487719E-2</v>
      </c>
      <c r="AR91" s="192">
        <v>1290.5</v>
      </c>
      <c r="AS91" s="192">
        <v>1416</v>
      </c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</row>
    <row r="92" spans="2:55" ht="18" customHeight="1" x14ac:dyDescent="0.25">
      <c r="B92" s="239">
        <v>1031</v>
      </c>
      <c r="C92" s="239"/>
      <c r="D92" s="166"/>
      <c r="E92" s="167">
        <v>11643</v>
      </c>
      <c r="F92" s="166">
        <v>10982</v>
      </c>
      <c r="G92" s="166" t="s">
        <v>369</v>
      </c>
      <c r="H92" s="166">
        <v>11982</v>
      </c>
      <c r="I92" s="166">
        <v>11415</v>
      </c>
      <c r="J92" s="71" t="s">
        <v>370</v>
      </c>
      <c r="K92" s="235"/>
      <c r="L92" s="235"/>
      <c r="M92" s="235"/>
      <c r="O92" s="72">
        <f t="shared" si="0"/>
        <v>11643</v>
      </c>
      <c r="P92" s="73">
        <f t="shared" si="1"/>
        <v>10982</v>
      </c>
      <c r="Q92" s="73">
        <f t="shared" si="2"/>
        <v>11312.5</v>
      </c>
      <c r="R92" s="73">
        <f t="shared" si="3"/>
        <v>11982</v>
      </c>
      <c r="S92" s="73">
        <f t="shared" si="4"/>
        <v>11415</v>
      </c>
      <c r="T92" s="73">
        <f t="shared" si="5"/>
        <v>11698.5</v>
      </c>
      <c r="AP92" s="192">
        <v>970.75</v>
      </c>
      <c r="AQ92" s="192">
        <v>5.7172289466907028E-2</v>
      </c>
      <c r="AR92" s="192">
        <v>943</v>
      </c>
      <c r="AS92" s="192">
        <v>998.5</v>
      </c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</row>
    <row r="93" spans="2:55" ht="18" customHeight="1" x14ac:dyDescent="0.25">
      <c r="B93" s="239">
        <v>1032</v>
      </c>
      <c r="C93" s="239"/>
      <c r="D93" s="166"/>
      <c r="E93" s="167">
        <v>2687</v>
      </c>
      <c r="F93" s="167">
        <v>2713</v>
      </c>
      <c r="G93" s="166" t="s">
        <v>369</v>
      </c>
      <c r="H93" s="167">
        <v>2777</v>
      </c>
      <c r="I93" s="166">
        <v>2881</v>
      </c>
      <c r="J93" s="71" t="s">
        <v>370</v>
      </c>
      <c r="K93" s="235"/>
      <c r="L93" s="235"/>
      <c r="M93" s="235"/>
      <c r="O93" s="72">
        <f t="shared" si="0"/>
        <v>2687</v>
      </c>
      <c r="P93" s="73">
        <f t="shared" si="1"/>
        <v>2713</v>
      </c>
      <c r="Q93" s="73">
        <f t="shared" si="2"/>
        <v>2700</v>
      </c>
      <c r="R93" s="73">
        <f t="shared" si="3"/>
        <v>2777</v>
      </c>
      <c r="S93" s="73">
        <f t="shared" si="4"/>
        <v>2881</v>
      </c>
      <c r="T93" s="73">
        <f t="shared" si="5"/>
        <v>2829</v>
      </c>
      <c r="AP93" s="192">
        <v>11505.5</v>
      </c>
      <c r="AQ93" s="192">
        <v>3.3549172135065836E-2</v>
      </c>
      <c r="AR93" s="192">
        <v>11312.5</v>
      </c>
      <c r="AS93" s="192">
        <v>11698.5</v>
      </c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</row>
    <row r="94" spans="2:55" ht="18" customHeight="1" x14ac:dyDescent="0.25">
      <c r="B94" s="239">
        <v>1033</v>
      </c>
      <c r="C94" s="239"/>
      <c r="D94" s="166"/>
      <c r="E94" s="167">
        <v>3688</v>
      </c>
      <c r="F94" s="167">
        <v>3434</v>
      </c>
      <c r="G94" s="166" t="s">
        <v>369</v>
      </c>
      <c r="H94" s="167">
        <v>3714</v>
      </c>
      <c r="I94" s="166">
        <v>3839</v>
      </c>
      <c r="J94" s="71" t="s">
        <v>370</v>
      </c>
      <c r="K94" s="235"/>
      <c r="L94" s="235"/>
      <c r="M94" s="235"/>
      <c r="O94" s="72">
        <f t="shared" si="0"/>
        <v>3688</v>
      </c>
      <c r="P94" s="73">
        <f t="shared" si="1"/>
        <v>3434</v>
      </c>
      <c r="Q94" s="73">
        <f t="shared" si="2"/>
        <v>3561</v>
      </c>
      <c r="R94" s="73">
        <f t="shared" si="3"/>
        <v>3714</v>
      </c>
      <c r="S94" s="73">
        <f t="shared" si="4"/>
        <v>3839</v>
      </c>
      <c r="T94" s="73">
        <f t="shared" si="5"/>
        <v>3776.5</v>
      </c>
      <c r="AP94" s="192">
        <v>2764.5</v>
      </c>
      <c r="AQ94" s="192">
        <v>4.6663049376017361E-2</v>
      </c>
      <c r="AR94" s="192">
        <v>2700</v>
      </c>
      <c r="AS94" s="192">
        <v>2829</v>
      </c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</row>
    <row r="95" spans="2:55" ht="18" customHeight="1" x14ac:dyDescent="0.25">
      <c r="B95" s="239">
        <v>1034</v>
      </c>
      <c r="C95" s="239"/>
      <c r="D95" s="166"/>
      <c r="E95" s="11">
        <v>1756</v>
      </c>
      <c r="F95" s="166">
        <v>1666</v>
      </c>
      <c r="G95" s="166" t="s">
        <v>369</v>
      </c>
      <c r="H95" s="166">
        <v>1873</v>
      </c>
      <c r="I95" s="166">
        <v>1925</v>
      </c>
      <c r="J95" s="71" t="s">
        <v>370</v>
      </c>
      <c r="K95" s="235"/>
      <c r="L95" s="235"/>
      <c r="M95" s="235"/>
      <c r="O95" s="72">
        <f t="shared" si="0"/>
        <v>1756</v>
      </c>
      <c r="P95" s="73">
        <f t="shared" si="1"/>
        <v>1666</v>
      </c>
      <c r="Q95" s="73">
        <f t="shared" si="2"/>
        <v>1711</v>
      </c>
      <c r="R95" s="73">
        <f t="shared" si="3"/>
        <v>1873</v>
      </c>
      <c r="S95" s="73">
        <f t="shared" si="4"/>
        <v>1925</v>
      </c>
      <c r="T95" s="73">
        <f t="shared" si="5"/>
        <v>1899</v>
      </c>
      <c r="AP95" s="192">
        <v>3668.75</v>
      </c>
      <c r="AQ95" s="192">
        <v>5.8739352640545146E-2</v>
      </c>
      <c r="AR95" s="192">
        <v>3561</v>
      </c>
      <c r="AS95" s="192">
        <v>3776.5</v>
      </c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</row>
    <row r="96" spans="2:55" ht="18" customHeight="1" x14ac:dyDescent="0.25">
      <c r="B96" s="239">
        <v>1035</v>
      </c>
      <c r="C96" s="239"/>
      <c r="D96" s="166"/>
      <c r="E96" s="167">
        <v>989</v>
      </c>
      <c r="F96" s="167">
        <v>1023</v>
      </c>
      <c r="G96" s="166" t="s">
        <v>369</v>
      </c>
      <c r="H96" s="167">
        <v>1062</v>
      </c>
      <c r="I96" s="166">
        <v>1022</v>
      </c>
      <c r="J96" s="71" t="s">
        <v>370</v>
      </c>
      <c r="K96" s="235"/>
      <c r="L96" s="235"/>
      <c r="M96" s="235"/>
      <c r="O96" s="72">
        <f t="shared" si="0"/>
        <v>989</v>
      </c>
      <c r="P96" s="73">
        <f t="shared" si="1"/>
        <v>1023</v>
      </c>
      <c r="Q96" s="73">
        <f t="shared" si="2"/>
        <v>1006</v>
      </c>
      <c r="R96" s="73">
        <f t="shared" si="3"/>
        <v>1062</v>
      </c>
      <c r="S96" s="73">
        <f t="shared" si="4"/>
        <v>1022</v>
      </c>
      <c r="T96" s="73">
        <f t="shared" si="5"/>
        <v>1042</v>
      </c>
      <c r="AP96" s="192">
        <v>1805</v>
      </c>
      <c r="AQ96" s="192">
        <v>0.10415512465373961</v>
      </c>
      <c r="AR96" s="192">
        <v>1711</v>
      </c>
      <c r="AS96" s="192">
        <v>1899</v>
      </c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</row>
    <row r="97" spans="2:55" ht="18" customHeight="1" x14ac:dyDescent="0.25">
      <c r="B97" s="239">
        <v>1036</v>
      </c>
      <c r="C97" s="239"/>
      <c r="D97" s="166"/>
      <c r="E97" s="167">
        <v>1182</v>
      </c>
      <c r="F97" s="167">
        <v>1179</v>
      </c>
      <c r="G97" s="166" t="s">
        <v>369</v>
      </c>
      <c r="H97" s="167">
        <v>1570</v>
      </c>
      <c r="I97" s="166">
        <v>1662</v>
      </c>
      <c r="J97" s="71" t="s">
        <v>370</v>
      </c>
      <c r="K97" s="235"/>
      <c r="L97" s="235"/>
      <c r="M97" s="235"/>
      <c r="O97" s="72">
        <f t="shared" si="0"/>
        <v>1182</v>
      </c>
      <c r="P97" s="73">
        <f t="shared" si="1"/>
        <v>1179</v>
      </c>
      <c r="Q97" s="73">
        <f t="shared" si="2"/>
        <v>1180.5</v>
      </c>
      <c r="R97" s="73">
        <f t="shared" si="3"/>
        <v>1570</v>
      </c>
      <c r="S97" s="73">
        <f t="shared" si="4"/>
        <v>1662</v>
      </c>
      <c r="T97" s="73">
        <f t="shared" si="5"/>
        <v>1616</v>
      </c>
      <c r="AP97" s="192">
        <v>1024</v>
      </c>
      <c r="AQ97" s="192">
        <v>3.515625E-2</v>
      </c>
      <c r="AR97" s="192">
        <v>1006</v>
      </c>
      <c r="AS97" s="192">
        <v>1042</v>
      </c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</row>
    <row r="98" spans="2:55" ht="18" customHeight="1" x14ac:dyDescent="0.25">
      <c r="B98" s="239">
        <v>1037</v>
      </c>
      <c r="C98" s="239"/>
      <c r="D98" s="166"/>
      <c r="E98" s="167">
        <v>9098</v>
      </c>
      <c r="F98" s="167">
        <v>8916</v>
      </c>
      <c r="G98" s="166" t="s">
        <v>369</v>
      </c>
      <c r="H98" s="167">
        <v>9212</v>
      </c>
      <c r="I98" s="166">
        <v>9549</v>
      </c>
      <c r="J98" s="71" t="s">
        <v>370</v>
      </c>
      <c r="K98" s="235"/>
      <c r="L98" s="235"/>
      <c r="M98" s="235"/>
      <c r="O98" s="72">
        <f t="shared" si="0"/>
        <v>9098</v>
      </c>
      <c r="P98" s="73">
        <f t="shared" si="1"/>
        <v>8916</v>
      </c>
      <c r="Q98" s="73">
        <f t="shared" si="2"/>
        <v>9007</v>
      </c>
      <c r="R98" s="73">
        <f t="shared" si="3"/>
        <v>9212</v>
      </c>
      <c r="S98" s="73">
        <f t="shared" si="4"/>
        <v>9549</v>
      </c>
      <c r="T98" s="73">
        <f t="shared" si="5"/>
        <v>9380.5</v>
      </c>
      <c r="AP98" s="192">
        <v>1398.25</v>
      </c>
      <c r="AQ98" s="192">
        <v>0.31146075451457178</v>
      </c>
      <c r="AR98" s="192">
        <v>1180.5</v>
      </c>
      <c r="AS98" s="192">
        <v>1616</v>
      </c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</row>
    <row r="99" spans="2:55" ht="18" customHeight="1" x14ac:dyDescent="0.25">
      <c r="B99" s="239">
        <v>1038</v>
      </c>
      <c r="C99" s="239"/>
      <c r="D99" s="166"/>
      <c r="E99" s="167">
        <v>4333</v>
      </c>
      <c r="F99" s="167">
        <v>4543</v>
      </c>
      <c r="G99" s="166" t="s">
        <v>369</v>
      </c>
      <c r="H99" s="167">
        <v>4427</v>
      </c>
      <c r="I99" s="166">
        <v>4238</v>
      </c>
      <c r="J99" s="71" t="s">
        <v>370</v>
      </c>
      <c r="K99" s="235"/>
      <c r="L99" s="235"/>
      <c r="M99" s="235"/>
      <c r="O99" s="72">
        <f t="shared" si="0"/>
        <v>4333</v>
      </c>
      <c r="P99" s="73">
        <f t="shared" si="1"/>
        <v>4543</v>
      </c>
      <c r="Q99" s="73">
        <f t="shared" si="2"/>
        <v>4438</v>
      </c>
      <c r="R99" s="73">
        <f t="shared" si="3"/>
        <v>4427</v>
      </c>
      <c r="S99" s="73">
        <f t="shared" si="4"/>
        <v>4238</v>
      </c>
      <c r="T99" s="73">
        <f t="shared" si="5"/>
        <v>4332.5</v>
      </c>
      <c r="AP99" s="192">
        <v>9193.75</v>
      </c>
      <c r="AQ99" s="192">
        <v>4.0625424881033309E-2</v>
      </c>
      <c r="AR99" s="192">
        <v>9007</v>
      </c>
      <c r="AS99" s="192">
        <v>9380.5</v>
      </c>
      <c r="AT99" s="192"/>
      <c r="AU99" s="192"/>
      <c r="AV99" s="192"/>
      <c r="AW99" s="192"/>
      <c r="AX99" s="192"/>
      <c r="AY99" s="192"/>
      <c r="AZ99" s="192"/>
      <c r="BA99" s="192"/>
      <c r="BB99" s="192"/>
      <c r="BC99" s="192"/>
    </row>
    <row r="100" spans="2:55" ht="18" customHeight="1" x14ac:dyDescent="0.25">
      <c r="B100" s="239">
        <v>1039</v>
      </c>
      <c r="C100" s="239"/>
      <c r="D100" s="166"/>
      <c r="E100" s="167">
        <v>3486</v>
      </c>
      <c r="F100" s="167">
        <v>3726</v>
      </c>
      <c r="G100" s="166" t="s">
        <v>369</v>
      </c>
      <c r="H100" s="167">
        <v>3516</v>
      </c>
      <c r="I100" s="166">
        <v>3101</v>
      </c>
      <c r="J100" s="71" t="s">
        <v>370</v>
      </c>
      <c r="K100" s="235"/>
      <c r="L100" s="235"/>
      <c r="M100" s="235"/>
      <c r="O100" s="72">
        <f t="shared" si="0"/>
        <v>3486</v>
      </c>
      <c r="P100" s="73">
        <f t="shared" si="1"/>
        <v>3726</v>
      </c>
      <c r="Q100" s="73">
        <f t="shared" si="2"/>
        <v>3606</v>
      </c>
      <c r="R100" s="73">
        <f t="shared" si="3"/>
        <v>3516</v>
      </c>
      <c r="S100" s="73">
        <f t="shared" si="4"/>
        <v>3101</v>
      </c>
      <c r="T100" s="73">
        <f t="shared" si="5"/>
        <v>3308.5</v>
      </c>
      <c r="AP100" s="192">
        <v>4385.25</v>
      </c>
      <c r="AQ100" s="192">
        <v>-2.4057921441194913E-2</v>
      </c>
      <c r="AR100" s="192">
        <v>4438</v>
      </c>
      <c r="AS100" s="192">
        <v>4332.5</v>
      </c>
      <c r="AT100" s="192"/>
      <c r="AU100" s="192"/>
      <c r="AV100" s="192"/>
      <c r="AW100" s="192"/>
      <c r="AX100" s="192"/>
      <c r="AY100" s="192"/>
      <c r="AZ100" s="192"/>
      <c r="BA100" s="192"/>
      <c r="BB100" s="192"/>
      <c r="BC100" s="192"/>
    </row>
    <row r="101" spans="2:55" ht="18" customHeight="1" x14ac:dyDescent="0.25">
      <c r="B101" s="234"/>
      <c r="C101" s="234"/>
      <c r="D101" s="166"/>
      <c r="E101" s="167"/>
      <c r="F101" s="167"/>
      <c r="G101" s="166"/>
      <c r="H101" s="167"/>
      <c r="I101" s="166"/>
      <c r="J101" s="71" t="str">
        <f>IF(ISERROR(VLOOKUP(#REF!,#REF!,2,FALSE)),"EXCLUDE",VLOOKUP(#REF!,#REF!,2,FALSE))</f>
        <v>EXCLUDE</v>
      </c>
      <c r="K101" s="235"/>
      <c r="L101" s="235"/>
      <c r="M101" s="235"/>
      <c r="O101" s="72" t="str">
        <f t="shared" si="0"/>
        <v/>
      </c>
      <c r="P101" s="73" t="str">
        <f t="shared" si="1"/>
        <v/>
      </c>
      <c r="Q101" s="73" t="str">
        <f t="shared" si="2"/>
        <v/>
      </c>
      <c r="R101" s="73" t="str">
        <f t="shared" si="3"/>
        <v/>
      </c>
      <c r="S101" s="73" t="str">
        <f t="shared" si="4"/>
        <v/>
      </c>
      <c r="T101" s="73" t="str">
        <f t="shared" si="5"/>
        <v/>
      </c>
      <c r="AP101" s="192">
        <v>3457.25</v>
      </c>
      <c r="AQ101" s="192">
        <v>-8.6051052136813938E-2</v>
      </c>
      <c r="AR101" s="192">
        <v>3606</v>
      </c>
      <c r="AS101" s="192">
        <v>3308.5</v>
      </c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</row>
    <row r="102" spans="2:55" ht="18" customHeight="1" x14ac:dyDescent="0.25">
      <c r="B102" s="234"/>
      <c r="C102" s="234"/>
      <c r="D102" s="166"/>
      <c r="E102" s="167"/>
      <c r="F102" s="167"/>
      <c r="G102" s="166"/>
      <c r="H102" s="167"/>
      <c r="I102" s="166"/>
      <c r="J102" s="71" t="str">
        <f>IF(ISERROR(VLOOKUP(#REF!,#REF!,2,FALSE)),"EXCLUDE",VLOOKUP(#REF!,#REF!,2,FALSE))</f>
        <v>EXCLUDE</v>
      </c>
      <c r="K102" s="235"/>
      <c r="L102" s="235"/>
      <c r="M102" s="235"/>
      <c r="O102" s="72" t="str">
        <f t="shared" si="0"/>
        <v/>
      </c>
      <c r="P102" s="73" t="str">
        <f t="shared" si="1"/>
        <v/>
      </c>
      <c r="Q102" s="73" t="str">
        <f t="shared" si="2"/>
        <v/>
      </c>
      <c r="R102" s="73" t="str">
        <f t="shared" si="3"/>
        <v/>
      </c>
      <c r="S102" s="73" t="str">
        <f t="shared" si="4"/>
        <v/>
      </c>
      <c r="T102" s="73" t="str">
        <f t="shared" si="5"/>
        <v/>
      </c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</row>
    <row r="103" spans="2:55" ht="18" customHeight="1" x14ac:dyDescent="0.25">
      <c r="B103" s="234"/>
      <c r="C103" s="234"/>
      <c r="D103" s="166"/>
      <c r="E103" s="167"/>
      <c r="F103" s="167"/>
      <c r="G103" s="166"/>
      <c r="H103" s="167"/>
      <c r="I103" s="166"/>
      <c r="J103" s="71" t="str">
        <f>IF(ISERROR(VLOOKUP(#REF!,#REF!,2,FALSE)),"EXCLUDE",VLOOKUP(#REF!,#REF!,2,FALSE))</f>
        <v>EXCLUDE</v>
      </c>
      <c r="K103" s="235"/>
      <c r="L103" s="235"/>
      <c r="M103" s="235"/>
      <c r="O103" s="72" t="str">
        <f t="shared" si="0"/>
        <v/>
      </c>
      <c r="P103" s="73" t="str">
        <f t="shared" si="1"/>
        <v/>
      </c>
      <c r="Q103" s="73" t="str">
        <f t="shared" si="2"/>
        <v/>
      </c>
      <c r="R103" s="73" t="str">
        <f t="shared" si="3"/>
        <v/>
      </c>
      <c r="S103" s="73" t="str">
        <f t="shared" si="4"/>
        <v/>
      </c>
      <c r="T103" s="73" t="str">
        <f t="shared" si="5"/>
        <v/>
      </c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</row>
    <row r="104" spans="2:55" ht="18" customHeight="1" x14ac:dyDescent="0.25">
      <c r="B104" s="234"/>
      <c r="C104" s="234"/>
      <c r="D104" s="166"/>
      <c r="E104" s="167"/>
      <c r="F104" s="167"/>
      <c r="G104" s="166"/>
      <c r="H104" s="167"/>
      <c r="I104" s="166"/>
      <c r="J104" s="71" t="str">
        <f>IF(ISERROR(VLOOKUP(#REF!,#REF!,2,FALSE)),"EXCLUDE",VLOOKUP(#REF!,#REF!,2,FALSE))</f>
        <v>EXCLUDE</v>
      </c>
      <c r="K104" s="235"/>
      <c r="L104" s="235"/>
      <c r="M104" s="235"/>
      <c r="O104" s="72" t="str">
        <f t="shared" si="0"/>
        <v/>
      </c>
      <c r="P104" s="73" t="str">
        <f t="shared" si="1"/>
        <v/>
      </c>
      <c r="Q104" s="73" t="str">
        <f t="shared" si="2"/>
        <v/>
      </c>
      <c r="R104" s="73" t="str">
        <f t="shared" si="3"/>
        <v/>
      </c>
      <c r="S104" s="73" t="str">
        <f t="shared" si="4"/>
        <v/>
      </c>
      <c r="T104" s="73" t="str">
        <f t="shared" si="5"/>
        <v/>
      </c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</row>
    <row r="105" spans="2:55" ht="18" customHeight="1" x14ac:dyDescent="0.25">
      <c r="B105" s="234"/>
      <c r="C105" s="234"/>
      <c r="D105" s="166"/>
      <c r="E105" s="167"/>
      <c r="F105" s="167"/>
      <c r="G105" s="166"/>
      <c r="H105" s="167"/>
      <c r="I105" s="166"/>
      <c r="J105" s="71" t="str">
        <f>IF(ISERROR(VLOOKUP(#REF!,#REF!,2,FALSE)),"EXCLUDE",VLOOKUP(#REF!,#REF!,2,FALSE))</f>
        <v>EXCLUDE</v>
      </c>
      <c r="K105" s="235"/>
      <c r="L105" s="235"/>
      <c r="M105" s="235"/>
      <c r="O105" s="72" t="str">
        <f t="shared" si="0"/>
        <v/>
      </c>
      <c r="P105" s="73" t="str">
        <f t="shared" si="1"/>
        <v/>
      </c>
      <c r="Q105" s="73" t="str">
        <f t="shared" si="2"/>
        <v/>
      </c>
      <c r="R105" s="73" t="str">
        <f t="shared" si="3"/>
        <v/>
      </c>
      <c r="S105" s="73" t="str">
        <f t="shared" si="4"/>
        <v/>
      </c>
      <c r="T105" s="73" t="str">
        <f t="shared" si="5"/>
        <v/>
      </c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</row>
    <row r="106" spans="2:55" ht="18" customHeight="1" x14ac:dyDescent="0.25">
      <c r="B106" s="234"/>
      <c r="C106" s="234"/>
      <c r="D106" s="166"/>
      <c r="E106" s="167"/>
      <c r="F106" s="167"/>
      <c r="G106" s="166"/>
      <c r="H106" s="167"/>
      <c r="I106" s="166"/>
      <c r="J106" s="71" t="str">
        <f>IF(ISERROR(VLOOKUP(#REF!,#REF!,2,FALSE)),"EXCLUDE",VLOOKUP(#REF!,#REF!,2,FALSE))</f>
        <v>EXCLUDE</v>
      </c>
      <c r="K106" s="235"/>
      <c r="L106" s="235"/>
      <c r="M106" s="235"/>
      <c r="O106" s="72" t="str">
        <f t="shared" si="0"/>
        <v/>
      </c>
      <c r="P106" s="73" t="str">
        <f t="shared" si="1"/>
        <v/>
      </c>
      <c r="Q106" s="73" t="str">
        <f t="shared" si="2"/>
        <v/>
      </c>
      <c r="R106" s="73" t="str">
        <f t="shared" si="3"/>
        <v/>
      </c>
      <c r="S106" s="73" t="str">
        <f t="shared" si="4"/>
        <v/>
      </c>
      <c r="T106" s="73" t="str">
        <f t="shared" si="5"/>
        <v/>
      </c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</row>
    <row r="107" spans="2:55" ht="18" customHeight="1" x14ac:dyDescent="0.25">
      <c r="B107" s="234"/>
      <c r="C107" s="234"/>
      <c r="D107" s="166"/>
      <c r="E107" s="167"/>
      <c r="F107" s="166"/>
      <c r="G107" s="166"/>
      <c r="H107" s="166"/>
      <c r="I107" s="166"/>
      <c r="J107" s="71" t="str">
        <f>IF(ISERROR(VLOOKUP(#REF!,#REF!,2,FALSE)),"EXCLUDE",VLOOKUP(#REF!,#REF!,2,FALSE))</f>
        <v>EXCLUDE</v>
      </c>
      <c r="K107" s="235"/>
      <c r="L107" s="235"/>
      <c r="M107" s="235"/>
      <c r="O107" s="72" t="str">
        <f t="shared" si="0"/>
        <v/>
      </c>
      <c r="P107" s="73" t="str">
        <f t="shared" si="1"/>
        <v/>
      </c>
      <c r="Q107" s="73" t="str">
        <f t="shared" si="2"/>
        <v/>
      </c>
      <c r="R107" s="73" t="str">
        <f t="shared" si="3"/>
        <v/>
      </c>
      <c r="S107" s="73" t="str">
        <f t="shared" si="4"/>
        <v/>
      </c>
      <c r="T107" s="73" t="str">
        <f t="shared" si="5"/>
        <v/>
      </c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</row>
    <row r="108" spans="2:55" ht="18" customHeight="1" x14ac:dyDescent="0.25">
      <c r="B108" s="234"/>
      <c r="C108" s="234"/>
      <c r="D108" s="166"/>
      <c r="E108" s="167"/>
      <c r="F108" s="166"/>
      <c r="G108" s="166"/>
      <c r="H108" s="166"/>
      <c r="I108" s="166"/>
      <c r="J108" s="71" t="str">
        <f>IF(ISERROR(VLOOKUP(#REF!,#REF!,2,FALSE)),"EXCLUDE",VLOOKUP(#REF!,#REF!,2,FALSE))</f>
        <v>EXCLUDE</v>
      </c>
      <c r="K108" s="235"/>
      <c r="L108" s="235"/>
      <c r="M108" s="235"/>
      <c r="O108" s="72" t="str">
        <f t="shared" si="0"/>
        <v/>
      </c>
      <c r="P108" s="73" t="str">
        <f t="shared" si="1"/>
        <v/>
      </c>
      <c r="Q108" s="73" t="str">
        <f t="shared" si="2"/>
        <v/>
      </c>
      <c r="R108" s="73" t="str">
        <f t="shared" si="3"/>
        <v/>
      </c>
      <c r="S108" s="73" t="str">
        <f t="shared" si="4"/>
        <v/>
      </c>
      <c r="T108" s="73" t="str">
        <f t="shared" si="5"/>
        <v/>
      </c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</row>
    <row r="109" spans="2:55" ht="18" customHeight="1" x14ac:dyDescent="0.25">
      <c r="B109" s="234"/>
      <c r="C109" s="234"/>
      <c r="D109" s="166"/>
      <c r="E109" s="167"/>
      <c r="F109" s="167"/>
      <c r="G109" s="166"/>
      <c r="H109" s="167"/>
      <c r="I109" s="166"/>
      <c r="J109" s="71" t="str">
        <f>IF(ISERROR(VLOOKUP(#REF!,#REF!,2,FALSE)),"EXCLUDE",VLOOKUP(#REF!,#REF!,2,FALSE))</f>
        <v>EXCLUDE</v>
      </c>
      <c r="K109" s="235"/>
      <c r="L109" s="235"/>
      <c r="M109" s="235"/>
      <c r="O109" s="72" t="str">
        <f t="shared" si="0"/>
        <v/>
      </c>
      <c r="P109" s="73" t="str">
        <f t="shared" si="1"/>
        <v/>
      </c>
      <c r="Q109" s="73" t="str">
        <f t="shared" si="2"/>
        <v/>
      </c>
      <c r="R109" s="73" t="str">
        <f t="shared" si="3"/>
        <v/>
      </c>
      <c r="S109" s="73" t="str">
        <f t="shared" si="4"/>
        <v/>
      </c>
      <c r="T109" s="73" t="str">
        <f t="shared" si="5"/>
        <v/>
      </c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</row>
    <row r="110" spans="2:55" ht="18" customHeight="1" x14ac:dyDescent="0.25">
      <c r="B110" s="234"/>
      <c r="C110" s="234"/>
      <c r="D110" s="166"/>
      <c r="E110" s="167"/>
      <c r="F110" s="166"/>
      <c r="G110" s="166"/>
      <c r="H110" s="166"/>
      <c r="I110" s="166"/>
      <c r="J110" s="71" t="str">
        <f>IF(ISERROR(VLOOKUP(#REF!,#REF!,2,FALSE)),"EXCLUDE",VLOOKUP(#REF!,#REF!,2,FALSE))</f>
        <v>EXCLUDE</v>
      </c>
      <c r="K110" s="235"/>
      <c r="L110" s="235"/>
      <c r="M110" s="235"/>
      <c r="O110" s="72" t="str">
        <f t="shared" si="0"/>
        <v/>
      </c>
      <c r="P110" s="73" t="str">
        <f t="shared" si="1"/>
        <v/>
      </c>
      <c r="Q110" s="73" t="str">
        <f t="shared" si="2"/>
        <v/>
      </c>
      <c r="R110" s="73" t="str">
        <f t="shared" si="3"/>
        <v/>
      </c>
      <c r="S110" s="73" t="str">
        <f t="shared" si="4"/>
        <v/>
      </c>
      <c r="T110" s="73" t="str">
        <f t="shared" si="5"/>
        <v/>
      </c>
      <c r="AP110" s="192"/>
      <c r="AQ110" s="192"/>
      <c r="AR110" s="192"/>
      <c r="AS110" s="192"/>
      <c r="AT110" s="192"/>
      <c r="AU110" s="192"/>
      <c r="AV110" s="192"/>
      <c r="AW110" s="192"/>
      <c r="AX110" s="192"/>
      <c r="AY110" s="192"/>
      <c r="AZ110" s="192"/>
    </row>
    <row r="111" spans="2:55" ht="18" customHeight="1" x14ac:dyDescent="0.25">
      <c r="B111" s="234"/>
      <c r="C111" s="234"/>
      <c r="D111" s="166"/>
      <c r="E111" s="167"/>
      <c r="F111" s="166"/>
      <c r="G111" s="166"/>
      <c r="H111" s="166"/>
      <c r="I111" s="166"/>
      <c r="J111" s="71" t="str">
        <f>IF(ISERROR(VLOOKUP(#REF!,#REF!,2,FALSE)),"EXCLUDE",VLOOKUP(#REF!,#REF!,2,FALSE))</f>
        <v>EXCLUDE</v>
      </c>
      <c r="K111" s="235"/>
      <c r="L111" s="235"/>
      <c r="M111" s="235"/>
      <c r="O111" s="72" t="str">
        <f t="shared" si="0"/>
        <v/>
      </c>
      <c r="P111" s="73" t="str">
        <f t="shared" si="1"/>
        <v/>
      </c>
      <c r="Q111" s="73" t="str">
        <f t="shared" si="2"/>
        <v/>
      </c>
      <c r="R111" s="73" t="str">
        <f t="shared" si="3"/>
        <v/>
      </c>
      <c r="S111" s="73" t="str">
        <f t="shared" si="4"/>
        <v/>
      </c>
      <c r="T111" s="73" t="str">
        <f t="shared" si="5"/>
        <v/>
      </c>
      <c r="AP111" s="192"/>
      <c r="AQ111" s="192"/>
      <c r="AR111" s="192"/>
      <c r="AS111" s="192"/>
      <c r="AT111" s="192"/>
      <c r="AU111" s="192"/>
      <c r="AV111" s="192"/>
      <c r="AW111" s="192"/>
      <c r="AX111" s="192"/>
      <c r="AY111" s="192"/>
      <c r="AZ111" s="192"/>
    </row>
    <row r="112" spans="2:55" ht="18" customHeight="1" x14ac:dyDescent="0.25">
      <c r="B112" s="234"/>
      <c r="C112" s="234"/>
      <c r="D112" s="166"/>
      <c r="E112" s="167"/>
      <c r="F112" s="167"/>
      <c r="G112" s="166"/>
      <c r="H112" s="167"/>
      <c r="I112" s="166"/>
      <c r="J112" s="71" t="str">
        <f>IF(ISERROR(VLOOKUP(#REF!,#REF!,2,FALSE)),"EXCLUDE",VLOOKUP(#REF!,#REF!,2,FALSE))</f>
        <v>EXCLUDE</v>
      </c>
      <c r="K112" s="235"/>
      <c r="L112" s="235"/>
      <c r="M112" s="235"/>
      <c r="O112" s="72" t="str">
        <f t="shared" si="0"/>
        <v/>
      </c>
      <c r="P112" s="73" t="str">
        <f t="shared" si="1"/>
        <v/>
      </c>
      <c r="Q112" s="73" t="str">
        <f t="shared" si="2"/>
        <v/>
      </c>
      <c r="R112" s="73" t="str">
        <f t="shared" si="3"/>
        <v/>
      </c>
      <c r="S112" s="73" t="str">
        <f t="shared" si="4"/>
        <v/>
      </c>
      <c r="T112" s="73" t="str">
        <f t="shared" si="5"/>
        <v/>
      </c>
      <c r="AP112" s="192"/>
      <c r="AQ112" s="192"/>
      <c r="AR112" s="192"/>
      <c r="AS112" s="192"/>
      <c r="AT112" s="192"/>
      <c r="AU112" s="192"/>
      <c r="AV112" s="192"/>
      <c r="AW112" s="192"/>
      <c r="AX112" s="192"/>
      <c r="AY112" s="192"/>
      <c r="AZ112" s="192"/>
    </row>
    <row r="113" spans="2:52" ht="18" customHeight="1" x14ac:dyDescent="0.25">
      <c r="B113" s="234"/>
      <c r="C113" s="234"/>
      <c r="D113" s="166"/>
      <c r="E113" s="167"/>
      <c r="F113" s="167"/>
      <c r="G113" s="166"/>
      <c r="H113" s="167"/>
      <c r="I113" s="166"/>
      <c r="J113" s="71" t="str">
        <f>IF(ISERROR(VLOOKUP(#REF!,#REF!,2,FALSE)),"EXCLUDE",VLOOKUP(#REF!,#REF!,2,FALSE))</f>
        <v>EXCLUDE</v>
      </c>
      <c r="K113" s="235"/>
      <c r="L113" s="235"/>
      <c r="M113" s="235"/>
      <c r="O113" s="72" t="str">
        <f t="shared" si="0"/>
        <v/>
      </c>
      <c r="P113" s="73" t="str">
        <f t="shared" si="1"/>
        <v/>
      </c>
      <c r="Q113" s="73" t="str">
        <f t="shared" si="2"/>
        <v/>
      </c>
      <c r="R113" s="73" t="str">
        <f t="shared" si="3"/>
        <v/>
      </c>
      <c r="S113" s="73" t="str">
        <f t="shared" si="4"/>
        <v/>
      </c>
      <c r="T113" s="73" t="str">
        <f t="shared" si="5"/>
        <v/>
      </c>
      <c r="AP113" s="192"/>
      <c r="AQ113" s="192"/>
      <c r="AR113" s="192"/>
      <c r="AS113" s="192"/>
      <c r="AT113" s="192"/>
      <c r="AU113" s="192"/>
      <c r="AV113" s="192"/>
      <c r="AW113" s="192"/>
      <c r="AX113" s="192"/>
      <c r="AY113" s="192"/>
      <c r="AZ113" s="192"/>
    </row>
    <row r="114" spans="2:52" ht="18" customHeight="1" x14ac:dyDescent="0.25">
      <c r="B114" s="234"/>
      <c r="C114" s="234"/>
      <c r="D114" s="166"/>
      <c r="E114" s="167"/>
      <c r="F114" s="166"/>
      <c r="G114" s="166"/>
      <c r="H114" s="166"/>
      <c r="I114" s="166"/>
      <c r="J114" s="71" t="str">
        <f>IF(ISERROR(VLOOKUP(#REF!,#REF!,2,FALSE)),"EXCLUDE",VLOOKUP(#REF!,#REF!,2,FALSE))</f>
        <v>EXCLUDE</v>
      </c>
      <c r="K114" s="235"/>
      <c r="L114" s="235"/>
      <c r="M114" s="235"/>
      <c r="O114" s="72" t="str">
        <f t="shared" si="0"/>
        <v/>
      </c>
      <c r="P114" s="73" t="str">
        <f t="shared" si="1"/>
        <v/>
      </c>
      <c r="Q114" s="73" t="str">
        <f t="shared" si="2"/>
        <v/>
      </c>
      <c r="R114" s="73" t="str">
        <f t="shared" si="3"/>
        <v/>
      </c>
      <c r="S114" s="73" t="str">
        <f t="shared" si="4"/>
        <v/>
      </c>
      <c r="T114" s="73" t="str">
        <f t="shared" si="5"/>
        <v/>
      </c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</row>
    <row r="115" spans="2:52" ht="18" customHeight="1" x14ac:dyDescent="0.25">
      <c r="B115" s="234"/>
      <c r="C115" s="234"/>
      <c r="D115" s="166"/>
      <c r="E115" s="167"/>
      <c r="F115" s="167"/>
      <c r="G115" s="166"/>
      <c r="H115" s="167"/>
      <c r="I115" s="166"/>
      <c r="J115" s="71" t="str">
        <f>IF(ISERROR(VLOOKUP(#REF!,#REF!,2,FALSE)),"EXCLUDE",VLOOKUP(#REF!,#REF!,2,FALSE))</f>
        <v>EXCLUDE</v>
      </c>
      <c r="K115" s="235"/>
      <c r="L115" s="235"/>
      <c r="M115" s="235"/>
      <c r="O115" s="72" t="str">
        <f t="shared" si="0"/>
        <v/>
      </c>
      <c r="P115" s="73" t="str">
        <f t="shared" si="1"/>
        <v/>
      </c>
      <c r="Q115" s="73" t="str">
        <f t="shared" si="2"/>
        <v/>
      </c>
      <c r="R115" s="73" t="str">
        <f t="shared" si="3"/>
        <v/>
      </c>
      <c r="S115" s="73" t="str">
        <f t="shared" si="4"/>
        <v/>
      </c>
      <c r="T115" s="73" t="str">
        <f t="shared" si="5"/>
        <v/>
      </c>
      <c r="AP115" s="192"/>
      <c r="AQ115" s="192"/>
      <c r="AR115" s="192"/>
      <c r="AS115" s="192"/>
      <c r="AT115" s="192"/>
      <c r="AU115" s="192"/>
      <c r="AV115" s="192"/>
      <c r="AW115" s="192"/>
      <c r="AX115" s="192"/>
      <c r="AY115" s="192"/>
      <c r="AZ115" s="192"/>
    </row>
    <row r="116" spans="2:52" ht="18" customHeight="1" x14ac:dyDescent="0.25">
      <c r="B116" s="234"/>
      <c r="C116" s="234"/>
      <c r="D116" s="166"/>
      <c r="E116" s="167"/>
      <c r="F116" s="166"/>
      <c r="G116" s="166"/>
      <c r="H116" s="166"/>
      <c r="I116" s="166"/>
      <c r="J116" s="71" t="str">
        <f>IF(ISERROR(VLOOKUP(#REF!,#REF!,2,FALSE)),"EXCLUDE",VLOOKUP(#REF!,#REF!,2,FALSE))</f>
        <v>EXCLUDE</v>
      </c>
      <c r="K116" s="235"/>
      <c r="L116" s="235"/>
      <c r="M116" s="235"/>
      <c r="O116" s="72" t="str">
        <f t="shared" si="0"/>
        <v/>
      </c>
      <c r="P116" s="73" t="str">
        <f t="shared" si="1"/>
        <v/>
      </c>
      <c r="Q116" s="73" t="str">
        <f t="shared" si="2"/>
        <v/>
      </c>
      <c r="R116" s="73" t="str">
        <f t="shared" si="3"/>
        <v/>
      </c>
      <c r="S116" s="73" t="str">
        <f t="shared" si="4"/>
        <v/>
      </c>
      <c r="T116" s="73" t="str">
        <f t="shared" si="5"/>
        <v/>
      </c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</row>
    <row r="117" spans="2:52" ht="18" customHeight="1" x14ac:dyDescent="0.25">
      <c r="B117" s="234"/>
      <c r="C117" s="234"/>
      <c r="D117" s="166"/>
      <c r="E117" s="167"/>
      <c r="F117" s="166"/>
      <c r="G117" s="166"/>
      <c r="H117" s="166"/>
      <c r="I117" s="166"/>
      <c r="J117" s="71" t="str">
        <f>IF(ISERROR(VLOOKUP(#REF!,#REF!,2,FALSE)),"EXCLUDE",VLOOKUP(#REF!,#REF!,2,FALSE))</f>
        <v>EXCLUDE</v>
      </c>
      <c r="K117" s="235"/>
      <c r="L117" s="235"/>
      <c r="M117" s="235"/>
      <c r="O117" s="72" t="str">
        <f t="shared" si="0"/>
        <v/>
      </c>
      <c r="P117" s="73" t="str">
        <f t="shared" si="1"/>
        <v/>
      </c>
      <c r="Q117" s="73" t="str">
        <f t="shared" si="2"/>
        <v/>
      </c>
      <c r="R117" s="73" t="str">
        <f t="shared" si="3"/>
        <v/>
      </c>
      <c r="S117" s="73" t="str">
        <f t="shared" si="4"/>
        <v/>
      </c>
      <c r="T117" s="73" t="str">
        <f t="shared" si="5"/>
        <v/>
      </c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</row>
    <row r="118" spans="2:52" ht="18" customHeight="1" x14ac:dyDescent="0.25">
      <c r="B118" s="234"/>
      <c r="C118" s="234"/>
      <c r="D118" s="166"/>
      <c r="E118" s="167"/>
      <c r="F118" s="167"/>
      <c r="G118" s="166"/>
      <c r="H118" s="167"/>
      <c r="I118" s="166"/>
      <c r="J118" s="71" t="str">
        <f>IF(ISERROR(VLOOKUP(#REF!,#REF!,2,FALSE)),"EXCLUDE",VLOOKUP(#REF!,#REF!,2,FALSE))</f>
        <v>EXCLUDE</v>
      </c>
      <c r="K118" s="235"/>
      <c r="L118" s="235"/>
      <c r="M118" s="235"/>
      <c r="O118" s="72" t="str">
        <f t="shared" si="0"/>
        <v/>
      </c>
      <c r="P118" s="73" t="str">
        <f t="shared" si="1"/>
        <v/>
      </c>
      <c r="Q118" s="73" t="str">
        <f t="shared" si="2"/>
        <v/>
      </c>
      <c r="R118" s="73" t="str">
        <f t="shared" si="3"/>
        <v/>
      </c>
      <c r="S118" s="73" t="str">
        <f t="shared" si="4"/>
        <v/>
      </c>
      <c r="T118" s="73" t="str">
        <f t="shared" si="5"/>
        <v/>
      </c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</row>
    <row r="119" spans="2:52" ht="18" customHeight="1" x14ac:dyDescent="0.25">
      <c r="B119" s="234"/>
      <c r="C119" s="234"/>
      <c r="D119" s="166"/>
      <c r="E119" s="167"/>
      <c r="F119" s="166"/>
      <c r="G119" s="166"/>
      <c r="H119" s="166"/>
      <c r="I119" s="166"/>
      <c r="J119" s="71" t="str">
        <f>IF(ISERROR(VLOOKUP(#REF!,#REF!,2,FALSE)),"EXCLUDE",VLOOKUP(#REF!,#REF!,2,FALSE))</f>
        <v>EXCLUDE</v>
      </c>
      <c r="K119" s="235"/>
      <c r="L119" s="235"/>
      <c r="M119" s="235"/>
      <c r="O119" s="72" t="str">
        <f t="shared" si="0"/>
        <v/>
      </c>
      <c r="P119" s="73" t="str">
        <f t="shared" si="1"/>
        <v/>
      </c>
      <c r="Q119" s="73" t="str">
        <f t="shared" si="2"/>
        <v/>
      </c>
      <c r="R119" s="73" t="str">
        <f t="shared" si="3"/>
        <v/>
      </c>
      <c r="S119" s="73" t="str">
        <f t="shared" si="4"/>
        <v/>
      </c>
      <c r="T119" s="73" t="str">
        <f t="shared" si="5"/>
        <v/>
      </c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</row>
    <row r="120" spans="2:52" ht="18" customHeight="1" x14ac:dyDescent="0.25">
      <c r="B120" s="234"/>
      <c r="C120" s="234"/>
      <c r="D120" s="166"/>
      <c r="E120" s="167"/>
      <c r="F120" s="166"/>
      <c r="G120" s="166"/>
      <c r="H120" s="166"/>
      <c r="I120" s="166"/>
      <c r="J120" s="71" t="str">
        <f>IF(ISERROR(VLOOKUP(#REF!,#REF!,2,FALSE)),"EXCLUDE",VLOOKUP(#REF!,#REF!,2,FALSE))</f>
        <v>EXCLUDE</v>
      </c>
      <c r="K120" s="235"/>
      <c r="L120" s="235"/>
      <c r="M120" s="235"/>
      <c r="O120" s="72" t="str">
        <f t="shared" si="0"/>
        <v/>
      </c>
      <c r="P120" s="73" t="str">
        <f t="shared" si="1"/>
        <v/>
      </c>
      <c r="Q120" s="73" t="str">
        <f t="shared" si="2"/>
        <v/>
      </c>
      <c r="R120" s="73" t="str">
        <f t="shared" si="3"/>
        <v/>
      </c>
      <c r="S120" s="73" t="str">
        <f t="shared" si="4"/>
        <v/>
      </c>
      <c r="T120" s="73" t="str">
        <f t="shared" si="5"/>
        <v/>
      </c>
      <c r="AP120" s="192"/>
      <c r="AQ120" s="192"/>
      <c r="AR120" s="192"/>
      <c r="AS120" s="192"/>
      <c r="AT120" s="192"/>
      <c r="AU120" s="192"/>
      <c r="AV120" s="192"/>
      <c r="AW120" s="192"/>
      <c r="AX120" s="192"/>
      <c r="AY120" s="192"/>
      <c r="AZ120" s="192"/>
    </row>
    <row r="121" spans="2:52" ht="18" customHeight="1" x14ac:dyDescent="0.25">
      <c r="B121" s="234"/>
      <c r="C121" s="234"/>
      <c r="D121" s="166"/>
      <c r="E121" s="167"/>
      <c r="F121" s="167"/>
      <c r="G121" s="166"/>
      <c r="H121" s="167"/>
      <c r="I121" s="166"/>
      <c r="J121" s="71" t="str">
        <f>IF(ISERROR(VLOOKUP(#REF!,#REF!,2,FALSE)),"EXCLUDE",VLOOKUP(#REF!,#REF!,2,FALSE))</f>
        <v>EXCLUDE</v>
      </c>
      <c r="K121" s="235"/>
      <c r="L121" s="235"/>
      <c r="M121" s="235"/>
      <c r="O121" s="72" t="str">
        <f t="shared" si="0"/>
        <v/>
      </c>
      <c r="P121" s="73" t="str">
        <f t="shared" si="1"/>
        <v/>
      </c>
      <c r="Q121" s="73" t="str">
        <f t="shared" si="2"/>
        <v/>
      </c>
      <c r="R121" s="73" t="str">
        <f t="shared" si="3"/>
        <v/>
      </c>
      <c r="S121" s="73" t="str">
        <f t="shared" si="4"/>
        <v/>
      </c>
      <c r="T121" s="73" t="str">
        <f t="shared" si="5"/>
        <v/>
      </c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</row>
    <row r="122" spans="2:52" ht="18" customHeight="1" x14ac:dyDescent="0.25">
      <c r="B122" s="234"/>
      <c r="C122" s="234"/>
      <c r="D122" s="166"/>
      <c r="E122" s="167"/>
      <c r="F122" s="167"/>
      <c r="G122" s="166"/>
      <c r="H122" s="167"/>
      <c r="I122" s="166"/>
      <c r="J122" s="71" t="str">
        <f>IF(ISERROR(VLOOKUP(#REF!,#REF!,2,FALSE)),"EXCLUDE",VLOOKUP(#REF!,#REF!,2,FALSE))</f>
        <v>EXCLUDE</v>
      </c>
      <c r="K122" s="235"/>
      <c r="L122" s="235"/>
      <c r="M122" s="235"/>
      <c r="O122" s="72" t="str">
        <f t="shared" si="0"/>
        <v/>
      </c>
      <c r="P122" s="73" t="str">
        <f t="shared" si="1"/>
        <v/>
      </c>
      <c r="Q122" s="73" t="str">
        <f t="shared" si="2"/>
        <v/>
      </c>
      <c r="R122" s="73" t="str">
        <f t="shared" si="3"/>
        <v/>
      </c>
      <c r="S122" s="73" t="str">
        <f t="shared" si="4"/>
        <v/>
      </c>
      <c r="T122" s="73" t="str">
        <f t="shared" si="5"/>
        <v/>
      </c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</row>
    <row r="123" spans="2:52" ht="18" customHeight="1" x14ac:dyDescent="0.25">
      <c r="B123" s="234"/>
      <c r="C123" s="234"/>
      <c r="D123" s="166"/>
      <c r="E123" s="167"/>
      <c r="F123" s="167"/>
      <c r="G123" s="166"/>
      <c r="H123" s="167"/>
      <c r="I123" s="166"/>
      <c r="J123" s="71" t="str">
        <f>IF(ISERROR(VLOOKUP(#REF!,#REF!,2,FALSE)),"EXCLUDE",VLOOKUP(#REF!,#REF!,2,FALSE))</f>
        <v>EXCLUDE</v>
      </c>
      <c r="K123" s="235"/>
      <c r="L123" s="235"/>
      <c r="M123" s="235"/>
      <c r="O123" s="72" t="str">
        <f t="shared" si="0"/>
        <v/>
      </c>
      <c r="P123" s="73" t="str">
        <f t="shared" si="1"/>
        <v/>
      </c>
      <c r="Q123" s="73" t="str">
        <f t="shared" si="2"/>
        <v/>
      </c>
      <c r="R123" s="73" t="str">
        <f t="shared" si="3"/>
        <v/>
      </c>
      <c r="S123" s="73" t="str">
        <f t="shared" si="4"/>
        <v/>
      </c>
      <c r="T123" s="73" t="str">
        <f t="shared" si="5"/>
        <v/>
      </c>
      <c r="AP123" s="192"/>
      <c r="AQ123" s="192"/>
      <c r="AR123" s="192"/>
      <c r="AS123" s="192"/>
      <c r="AT123" s="192"/>
      <c r="AU123" s="192"/>
      <c r="AV123" s="192"/>
      <c r="AW123" s="192"/>
      <c r="AX123" s="192"/>
      <c r="AY123" s="192"/>
      <c r="AZ123" s="192"/>
    </row>
    <row r="124" spans="2:52" ht="18" customHeight="1" x14ac:dyDescent="0.25">
      <c r="B124" s="234"/>
      <c r="C124" s="234"/>
      <c r="D124" s="166"/>
      <c r="E124" s="167"/>
      <c r="F124" s="167"/>
      <c r="G124" s="166"/>
      <c r="H124" s="167"/>
      <c r="I124" s="166"/>
      <c r="J124" s="71" t="str">
        <f>IF(ISERROR(VLOOKUP(#REF!,#REF!,2,FALSE)),"EXCLUDE",VLOOKUP(#REF!,#REF!,2,FALSE))</f>
        <v>EXCLUDE</v>
      </c>
      <c r="K124" s="235"/>
      <c r="L124" s="235"/>
      <c r="M124" s="235"/>
      <c r="O124" s="72" t="str">
        <f t="shared" si="0"/>
        <v/>
      </c>
      <c r="P124" s="73" t="str">
        <f t="shared" si="1"/>
        <v/>
      </c>
      <c r="Q124" s="73" t="str">
        <f t="shared" si="2"/>
        <v/>
      </c>
      <c r="R124" s="73" t="str">
        <f t="shared" si="3"/>
        <v/>
      </c>
      <c r="S124" s="73" t="str">
        <f t="shared" si="4"/>
        <v/>
      </c>
      <c r="T124" s="73" t="str">
        <f t="shared" si="5"/>
        <v/>
      </c>
      <c r="AP124" s="192"/>
      <c r="AQ124" s="192"/>
      <c r="AR124" s="192"/>
      <c r="AS124" s="192"/>
      <c r="AT124" s="192"/>
      <c r="AU124" s="192"/>
      <c r="AV124" s="192"/>
      <c r="AW124" s="192"/>
      <c r="AX124" s="192"/>
      <c r="AY124" s="192"/>
      <c r="AZ124" s="192"/>
    </row>
    <row r="125" spans="2:52" ht="18" customHeight="1" x14ac:dyDescent="0.25">
      <c r="B125" s="234"/>
      <c r="C125" s="234"/>
      <c r="D125" s="166"/>
      <c r="E125" s="167"/>
      <c r="F125" s="167"/>
      <c r="G125" s="166"/>
      <c r="H125" s="167"/>
      <c r="I125" s="166"/>
      <c r="J125" s="71" t="str">
        <f>IF(ISERROR(VLOOKUP(#REF!,#REF!,2,FALSE)),"EXCLUDE",VLOOKUP(#REF!,#REF!,2,FALSE))</f>
        <v>EXCLUDE</v>
      </c>
      <c r="K125" s="235"/>
      <c r="L125" s="235"/>
      <c r="M125" s="235"/>
      <c r="O125" s="72" t="str">
        <f t="shared" ref="O125:O160" si="6">IF($J125="INCLUDE",E125,"")</f>
        <v/>
      </c>
      <c r="P125" s="73" t="str">
        <f t="shared" ref="P125:P160" si="7">IF(AND($J125="INCLUDE",ISNUMBER(F125)),F125,"")</f>
        <v/>
      </c>
      <c r="Q125" s="73" t="str">
        <f t="shared" ref="Q125:Q160" si="8">IF($J125="INCLUDE",AVERAGE(O125:P125),"")</f>
        <v/>
      </c>
      <c r="R125" s="73" t="str">
        <f t="shared" ref="R125:R160" si="9">IF($J125="INCLUDE",H125,"")</f>
        <v/>
      </c>
      <c r="S125" s="73" t="str">
        <f t="shared" ref="S125:S160" si="10">IF(AND($J125="INCLUDE",ISNUMBER(I125)),I125,"")</f>
        <v/>
      </c>
      <c r="T125" s="73" t="str">
        <f t="shared" ref="T125:T160" si="11">IF($J125="INCLUDE",AVERAGE(R125:S125),"")</f>
        <v/>
      </c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</row>
    <row r="126" spans="2:52" ht="18" customHeight="1" x14ac:dyDescent="0.25">
      <c r="B126" s="234"/>
      <c r="C126" s="234"/>
      <c r="D126" s="166"/>
      <c r="E126" s="167"/>
      <c r="F126" s="166"/>
      <c r="G126" s="166"/>
      <c r="H126" s="166"/>
      <c r="I126" s="166"/>
      <c r="J126" s="71" t="str">
        <f>IF(ISERROR(VLOOKUP(#REF!,#REF!,2,FALSE)),"EXCLUDE",VLOOKUP(#REF!,#REF!,2,FALSE))</f>
        <v>EXCLUDE</v>
      </c>
      <c r="K126" s="235"/>
      <c r="L126" s="235"/>
      <c r="M126" s="235"/>
      <c r="O126" s="72" t="str">
        <f t="shared" si="6"/>
        <v/>
      </c>
      <c r="P126" s="73" t="str">
        <f t="shared" si="7"/>
        <v/>
      </c>
      <c r="Q126" s="73" t="str">
        <f t="shared" si="8"/>
        <v/>
      </c>
      <c r="R126" s="73" t="str">
        <f t="shared" si="9"/>
        <v/>
      </c>
      <c r="S126" s="73" t="str">
        <f t="shared" si="10"/>
        <v/>
      </c>
      <c r="T126" s="73" t="str">
        <f t="shared" si="11"/>
        <v/>
      </c>
      <c r="AP126" s="192"/>
      <c r="AQ126" s="192"/>
      <c r="AR126" s="192"/>
      <c r="AS126" s="192"/>
      <c r="AT126" s="192"/>
      <c r="AU126" s="192"/>
      <c r="AV126" s="192"/>
      <c r="AW126" s="192"/>
      <c r="AX126" s="192"/>
      <c r="AY126" s="192"/>
      <c r="AZ126" s="192"/>
    </row>
    <row r="127" spans="2:52" ht="18" customHeight="1" x14ac:dyDescent="0.25">
      <c r="B127" s="234"/>
      <c r="C127" s="234"/>
      <c r="D127" s="166"/>
      <c r="E127" s="167"/>
      <c r="F127" s="166"/>
      <c r="G127" s="166"/>
      <c r="H127" s="166"/>
      <c r="I127" s="166"/>
      <c r="J127" s="71" t="str">
        <f>IF(ISERROR(VLOOKUP(#REF!,#REF!,2,FALSE)),"EXCLUDE",VLOOKUP(#REF!,#REF!,2,FALSE))</f>
        <v>EXCLUDE</v>
      </c>
      <c r="K127" s="235"/>
      <c r="L127" s="235"/>
      <c r="M127" s="235"/>
      <c r="O127" s="72" t="str">
        <f t="shared" si="6"/>
        <v/>
      </c>
      <c r="P127" s="73" t="str">
        <f t="shared" si="7"/>
        <v/>
      </c>
      <c r="Q127" s="73" t="str">
        <f t="shared" si="8"/>
        <v/>
      </c>
      <c r="R127" s="73" t="str">
        <f t="shared" si="9"/>
        <v/>
      </c>
      <c r="S127" s="73" t="str">
        <f t="shared" si="10"/>
        <v/>
      </c>
      <c r="T127" s="73" t="str">
        <f t="shared" si="11"/>
        <v/>
      </c>
      <c r="AP127" s="192"/>
      <c r="AQ127" s="192"/>
      <c r="AR127" s="192"/>
      <c r="AS127" s="192"/>
      <c r="AT127" s="192"/>
      <c r="AU127" s="192"/>
      <c r="AV127" s="192"/>
      <c r="AW127" s="192"/>
      <c r="AX127" s="192"/>
      <c r="AY127" s="192"/>
      <c r="AZ127" s="192"/>
    </row>
    <row r="128" spans="2:52" ht="18" customHeight="1" x14ac:dyDescent="0.25">
      <c r="B128" s="234"/>
      <c r="C128" s="234"/>
      <c r="D128" s="166"/>
      <c r="E128" s="167"/>
      <c r="F128" s="167"/>
      <c r="G128" s="166"/>
      <c r="H128" s="167"/>
      <c r="I128" s="166"/>
      <c r="J128" s="71" t="str">
        <f>IF(ISERROR(VLOOKUP(#REF!,#REF!,2,FALSE)),"EXCLUDE",VLOOKUP(#REF!,#REF!,2,FALSE))</f>
        <v>EXCLUDE</v>
      </c>
      <c r="K128" s="235"/>
      <c r="L128" s="235"/>
      <c r="M128" s="235"/>
      <c r="O128" s="72" t="str">
        <f t="shared" si="6"/>
        <v/>
      </c>
      <c r="P128" s="73" t="str">
        <f t="shared" si="7"/>
        <v/>
      </c>
      <c r="Q128" s="73" t="str">
        <f t="shared" si="8"/>
        <v/>
      </c>
      <c r="R128" s="73" t="str">
        <f t="shared" si="9"/>
        <v/>
      </c>
      <c r="S128" s="73" t="str">
        <f t="shared" si="10"/>
        <v/>
      </c>
      <c r="T128" s="73" t="str">
        <f t="shared" si="11"/>
        <v/>
      </c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</row>
    <row r="129" spans="2:52" ht="18" customHeight="1" x14ac:dyDescent="0.25">
      <c r="B129" s="234"/>
      <c r="C129" s="234"/>
      <c r="D129" s="166"/>
      <c r="E129" s="167"/>
      <c r="F129" s="167"/>
      <c r="G129" s="166"/>
      <c r="H129" s="167"/>
      <c r="I129" s="166"/>
      <c r="J129" s="71" t="str">
        <f>IF(ISERROR(VLOOKUP(#REF!,#REF!,2,FALSE)),"EXCLUDE",VLOOKUP(#REF!,#REF!,2,FALSE))</f>
        <v>EXCLUDE</v>
      </c>
      <c r="K129" s="235"/>
      <c r="L129" s="235"/>
      <c r="M129" s="235"/>
      <c r="O129" s="72" t="str">
        <f t="shared" si="6"/>
        <v/>
      </c>
      <c r="P129" s="73" t="str">
        <f t="shared" si="7"/>
        <v/>
      </c>
      <c r="Q129" s="73" t="str">
        <f t="shared" si="8"/>
        <v/>
      </c>
      <c r="R129" s="73" t="str">
        <f t="shared" si="9"/>
        <v/>
      </c>
      <c r="S129" s="73" t="str">
        <f t="shared" si="10"/>
        <v/>
      </c>
      <c r="T129" s="73" t="str">
        <f t="shared" si="11"/>
        <v/>
      </c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</row>
    <row r="130" spans="2:52" ht="18" customHeight="1" x14ac:dyDescent="0.25">
      <c r="B130" s="234"/>
      <c r="C130" s="234"/>
      <c r="D130" s="166"/>
      <c r="E130" s="167"/>
      <c r="F130" s="167"/>
      <c r="G130" s="166"/>
      <c r="H130" s="167"/>
      <c r="I130" s="166"/>
      <c r="J130" s="71" t="str">
        <f>IF(ISERROR(VLOOKUP(#REF!,#REF!,2,FALSE)),"EXCLUDE",VLOOKUP(#REF!,#REF!,2,FALSE))</f>
        <v>EXCLUDE</v>
      </c>
      <c r="K130" s="235"/>
      <c r="L130" s="235"/>
      <c r="M130" s="235"/>
      <c r="O130" s="72" t="str">
        <f t="shared" si="6"/>
        <v/>
      </c>
      <c r="P130" s="73" t="str">
        <f t="shared" si="7"/>
        <v/>
      </c>
      <c r="Q130" s="73" t="str">
        <f t="shared" si="8"/>
        <v/>
      </c>
      <c r="R130" s="73" t="str">
        <f t="shared" si="9"/>
        <v/>
      </c>
      <c r="S130" s="73" t="str">
        <f t="shared" si="10"/>
        <v/>
      </c>
      <c r="T130" s="73" t="str">
        <f t="shared" si="11"/>
        <v/>
      </c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</row>
    <row r="131" spans="2:52" ht="18" customHeight="1" x14ac:dyDescent="0.25">
      <c r="B131" s="234"/>
      <c r="C131" s="234"/>
      <c r="D131" s="166"/>
      <c r="E131" s="167"/>
      <c r="F131" s="167"/>
      <c r="G131" s="166"/>
      <c r="H131" s="167"/>
      <c r="I131" s="166"/>
      <c r="J131" s="71" t="str">
        <f>IF(ISERROR(VLOOKUP(#REF!,#REF!,2,FALSE)),"EXCLUDE",VLOOKUP(#REF!,#REF!,2,FALSE))</f>
        <v>EXCLUDE</v>
      </c>
      <c r="K131" s="235"/>
      <c r="L131" s="235"/>
      <c r="M131" s="235"/>
      <c r="O131" s="72" t="str">
        <f t="shared" si="6"/>
        <v/>
      </c>
      <c r="P131" s="73" t="str">
        <f t="shared" si="7"/>
        <v/>
      </c>
      <c r="Q131" s="73" t="str">
        <f t="shared" si="8"/>
        <v/>
      </c>
      <c r="R131" s="73" t="str">
        <f t="shared" si="9"/>
        <v/>
      </c>
      <c r="S131" s="73" t="str">
        <f t="shared" si="10"/>
        <v/>
      </c>
      <c r="T131" s="73" t="str">
        <f t="shared" si="11"/>
        <v/>
      </c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</row>
    <row r="132" spans="2:52" ht="18" customHeight="1" x14ac:dyDescent="0.25">
      <c r="B132" s="234"/>
      <c r="C132" s="234"/>
      <c r="D132" s="166"/>
      <c r="E132" s="167"/>
      <c r="F132" s="167"/>
      <c r="G132" s="166"/>
      <c r="H132" s="167"/>
      <c r="I132" s="166"/>
      <c r="J132" s="71" t="str">
        <f>IF(ISERROR(VLOOKUP(#REF!,#REF!,2,FALSE)),"EXCLUDE",VLOOKUP(#REF!,#REF!,2,FALSE))</f>
        <v>EXCLUDE</v>
      </c>
      <c r="K132" s="235"/>
      <c r="L132" s="235"/>
      <c r="M132" s="235"/>
      <c r="O132" s="72" t="str">
        <f t="shared" si="6"/>
        <v/>
      </c>
      <c r="P132" s="73" t="str">
        <f t="shared" si="7"/>
        <v/>
      </c>
      <c r="Q132" s="73" t="str">
        <f t="shared" si="8"/>
        <v/>
      </c>
      <c r="R132" s="73" t="str">
        <f t="shared" si="9"/>
        <v/>
      </c>
      <c r="S132" s="73" t="str">
        <f t="shared" si="10"/>
        <v/>
      </c>
      <c r="T132" s="73" t="str">
        <f t="shared" si="11"/>
        <v/>
      </c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</row>
    <row r="133" spans="2:52" ht="18" customHeight="1" x14ac:dyDescent="0.25">
      <c r="B133" s="234"/>
      <c r="C133" s="234"/>
      <c r="D133" s="166"/>
      <c r="E133" s="167"/>
      <c r="F133" s="167"/>
      <c r="G133" s="166"/>
      <c r="H133" s="167"/>
      <c r="I133" s="166"/>
      <c r="J133" s="71" t="str">
        <f>IF(ISERROR(VLOOKUP(#REF!,#REF!,2,FALSE)),"EXCLUDE",VLOOKUP(#REF!,#REF!,2,FALSE))</f>
        <v>EXCLUDE</v>
      </c>
      <c r="K133" s="235"/>
      <c r="L133" s="235"/>
      <c r="M133" s="235"/>
      <c r="O133" s="72" t="str">
        <f t="shared" si="6"/>
        <v/>
      </c>
      <c r="P133" s="73" t="str">
        <f t="shared" si="7"/>
        <v/>
      </c>
      <c r="Q133" s="73" t="str">
        <f t="shared" si="8"/>
        <v/>
      </c>
      <c r="R133" s="73" t="str">
        <f t="shared" si="9"/>
        <v/>
      </c>
      <c r="S133" s="73" t="str">
        <f t="shared" si="10"/>
        <v/>
      </c>
      <c r="T133" s="73" t="str">
        <f t="shared" si="11"/>
        <v/>
      </c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</row>
    <row r="134" spans="2:52" ht="18" customHeight="1" x14ac:dyDescent="0.25">
      <c r="B134" s="234"/>
      <c r="C134" s="234"/>
      <c r="D134" s="166"/>
      <c r="E134" s="167"/>
      <c r="F134" s="167"/>
      <c r="G134" s="166"/>
      <c r="H134" s="167"/>
      <c r="I134" s="166"/>
      <c r="J134" s="71" t="str">
        <f>IF(ISERROR(VLOOKUP(#REF!,#REF!,2,FALSE)),"EXCLUDE",VLOOKUP(#REF!,#REF!,2,FALSE))</f>
        <v>EXCLUDE</v>
      </c>
      <c r="K134" s="235"/>
      <c r="L134" s="235"/>
      <c r="M134" s="235"/>
      <c r="O134" s="72" t="str">
        <f t="shared" si="6"/>
        <v/>
      </c>
      <c r="P134" s="73" t="str">
        <f t="shared" si="7"/>
        <v/>
      </c>
      <c r="Q134" s="73" t="str">
        <f t="shared" si="8"/>
        <v/>
      </c>
      <c r="R134" s="73" t="str">
        <f t="shared" si="9"/>
        <v/>
      </c>
      <c r="S134" s="73" t="str">
        <f t="shared" si="10"/>
        <v/>
      </c>
      <c r="T134" s="73" t="str">
        <f t="shared" si="11"/>
        <v/>
      </c>
      <c r="AP134" s="192"/>
      <c r="AQ134" s="192"/>
      <c r="AR134" s="192"/>
      <c r="AS134" s="192"/>
      <c r="AT134" s="192"/>
      <c r="AU134" s="192"/>
      <c r="AV134" s="192"/>
      <c r="AW134" s="192"/>
      <c r="AX134" s="192"/>
      <c r="AY134" s="192"/>
      <c r="AZ134" s="192"/>
    </row>
    <row r="135" spans="2:52" ht="18" customHeight="1" x14ac:dyDescent="0.25">
      <c r="B135" s="234"/>
      <c r="C135" s="234"/>
      <c r="D135" s="166"/>
      <c r="E135" s="167"/>
      <c r="F135" s="167"/>
      <c r="G135" s="166"/>
      <c r="H135" s="167"/>
      <c r="I135" s="166"/>
      <c r="J135" s="71" t="str">
        <f>IF(ISERROR(VLOOKUP(#REF!,#REF!,2,FALSE)),"EXCLUDE",VLOOKUP(#REF!,#REF!,2,FALSE))</f>
        <v>EXCLUDE</v>
      </c>
      <c r="K135" s="235"/>
      <c r="L135" s="235"/>
      <c r="M135" s="235"/>
      <c r="O135" s="72" t="str">
        <f t="shared" si="6"/>
        <v/>
      </c>
      <c r="P135" s="73" t="str">
        <f t="shared" si="7"/>
        <v/>
      </c>
      <c r="Q135" s="73" t="str">
        <f t="shared" si="8"/>
        <v/>
      </c>
      <c r="R135" s="73" t="str">
        <f t="shared" si="9"/>
        <v/>
      </c>
      <c r="S135" s="73" t="str">
        <f t="shared" si="10"/>
        <v/>
      </c>
      <c r="T135" s="73" t="str">
        <f t="shared" si="11"/>
        <v/>
      </c>
      <c r="AP135" s="192"/>
      <c r="AQ135" s="192"/>
      <c r="AR135" s="192"/>
      <c r="AS135" s="192"/>
      <c r="AT135" s="192"/>
      <c r="AU135" s="192"/>
      <c r="AV135" s="192"/>
      <c r="AW135" s="192"/>
      <c r="AX135" s="192"/>
      <c r="AY135" s="192"/>
      <c r="AZ135" s="192"/>
    </row>
    <row r="136" spans="2:52" ht="18" customHeight="1" x14ac:dyDescent="0.25">
      <c r="B136" s="234"/>
      <c r="C136" s="234"/>
      <c r="D136" s="166"/>
      <c r="E136" s="167"/>
      <c r="F136" s="167"/>
      <c r="G136" s="166"/>
      <c r="H136" s="167"/>
      <c r="I136" s="166"/>
      <c r="J136" s="71" t="str">
        <f>IF(ISERROR(VLOOKUP(#REF!,#REF!,2,FALSE)),"EXCLUDE",VLOOKUP(#REF!,#REF!,2,FALSE))</f>
        <v>EXCLUDE</v>
      </c>
      <c r="K136" s="235"/>
      <c r="L136" s="235"/>
      <c r="M136" s="235"/>
      <c r="O136" s="72" t="str">
        <f t="shared" si="6"/>
        <v/>
      </c>
      <c r="P136" s="73" t="str">
        <f t="shared" si="7"/>
        <v/>
      </c>
      <c r="Q136" s="73" t="str">
        <f t="shared" si="8"/>
        <v/>
      </c>
      <c r="R136" s="73" t="str">
        <f t="shared" si="9"/>
        <v/>
      </c>
      <c r="S136" s="73" t="str">
        <f t="shared" si="10"/>
        <v/>
      </c>
      <c r="T136" s="73" t="str">
        <f t="shared" si="11"/>
        <v/>
      </c>
      <c r="AP136" s="192"/>
      <c r="AQ136" s="192"/>
      <c r="AR136" s="192"/>
      <c r="AS136" s="192"/>
      <c r="AT136" s="192"/>
      <c r="AU136" s="192"/>
      <c r="AV136" s="192"/>
      <c r="AW136" s="192"/>
      <c r="AX136" s="192"/>
      <c r="AY136" s="192"/>
      <c r="AZ136" s="192"/>
    </row>
    <row r="137" spans="2:52" ht="18" customHeight="1" x14ac:dyDescent="0.25">
      <c r="B137" s="234"/>
      <c r="C137" s="234"/>
      <c r="D137" s="166"/>
      <c r="E137" s="167"/>
      <c r="F137" s="167"/>
      <c r="G137" s="166"/>
      <c r="H137" s="167"/>
      <c r="I137" s="166"/>
      <c r="J137" s="71" t="str">
        <f>IF(ISERROR(VLOOKUP(#REF!,#REF!,2,FALSE)),"EXCLUDE",VLOOKUP(#REF!,#REF!,2,FALSE))</f>
        <v>EXCLUDE</v>
      </c>
      <c r="K137" s="235"/>
      <c r="L137" s="235"/>
      <c r="M137" s="235"/>
      <c r="O137" s="72" t="str">
        <f t="shared" si="6"/>
        <v/>
      </c>
      <c r="P137" s="73" t="str">
        <f t="shared" si="7"/>
        <v/>
      </c>
      <c r="Q137" s="73" t="str">
        <f t="shared" si="8"/>
        <v/>
      </c>
      <c r="R137" s="73" t="str">
        <f t="shared" si="9"/>
        <v/>
      </c>
      <c r="S137" s="73" t="str">
        <f t="shared" si="10"/>
        <v/>
      </c>
      <c r="T137" s="73" t="str">
        <f t="shared" si="11"/>
        <v/>
      </c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</row>
    <row r="138" spans="2:52" ht="18" customHeight="1" x14ac:dyDescent="0.25">
      <c r="B138" s="234"/>
      <c r="C138" s="234"/>
      <c r="D138" s="166"/>
      <c r="E138" s="167"/>
      <c r="F138" s="167"/>
      <c r="G138" s="166"/>
      <c r="H138" s="167"/>
      <c r="I138" s="166"/>
      <c r="J138" s="71" t="str">
        <f>IF(ISERROR(VLOOKUP(#REF!,#REF!,2,FALSE)),"EXCLUDE",VLOOKUP(#REF!,#REF!,2,FALSE))</f>
        <v>EXCLUDE</v>
      </c>
      <c r="K138" s="235"/>
      <c r="L138" s="235"/>
      <c r="M138" s="235"/>
      <c r="O138" s="72" t="str">
        <f t="shared" si="6"/>
        <v/>
      </c>
      <c r="P138" s="73" t="str">
        <f t="shared" si="7"/>
        <v/>
      </c>
      <c r="Q138" s="73" t="str">
        <f t="shared" si="8"/>
        <v/>
      </c>
      <c r="R138" s="73" t="str">
        <f t="shared" si="9"/>
        <v/>
      </c>
      <c r="S138" s="73" t="str">
        <f t="shared" si="10"/>
        <v/>
      </c>
      <c r="T138" s="73" t="str">
        <f t="shared" si="11"/>
        <v/>
      </c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</row>
    <row r="139" spans="2:52" ht="18" customHeight="1" x14ac:dyDescent="0.25">
      <c r="B139" s="234"/>
      <c r="C139" s="234"/>
      <c r="D139" s="166"/>
      <c r="E139" s="167"/>
      <c r="F139" s="167"/>
      <c r="G139" s="166"/>
      <c r="H139" s="167"/>
      <c r="I139" s="166"/>
      <c r="J139" s="71" t="str">
        <f>IF(ISERROR(VLOOKUP(#REF!,#REF!,2,FALSE)),"EXCLUDE",VLOOKUP(#REF!,#REF!,2,FALSE))</f>
        <v>EXCLUDE</v>
      </c>
      <c r="K139" s="235"/>
      <c r="L139" s="235"/>
      <c r="M139" s="235"/>
      <c r="O139" s="72" t="str">
        <f t="shared" si="6"/>
        <v/>
      </c>
      <c r="P139" s="73" t="str">
        <f t="shared" si="7"/>
        <v/>
      </c>
      <c r="Q139" s="73" t="str">
        <f t="shared" si="8"/>
        <v/>
      </c>
      <c r="R139" s="73" t="str">
        <f t="shared" si="9"/>
        <v/>
      </c>
      <c r="S139" s="73" t="str">
        <f t="shared" si="10"/>
        <v/>
      </c>
      <c r="T139" s="73" t="str">
        <f t="shared" si="11"/>
        <v/>
      </c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</row>
    <row r="140" spans="2:52" ht="18" customHeight="1" x14ac:dyDescent="0.25">
      <c r="B140" s="234"/>
      <c r="C140" s="234"/>
      <c r="D140" s="166"/>
      <c r="E140" s="167"/>
      <c r="F140" s="167"/>
      <c r="G140" s="166"/>
      <c r="H140" s="167"/>
      <c r="I140" s="166"/>
      <c r="J140" s="71" t="str">
        <f>IF(ISERROR(VLOOKUP(#REF!,#REF!,2,FALSE)),"EXCLUDE",VLOOKUP(#REF!,#REF!,2,FALSE))</f>
        <v>EXCLUDE</v>
      </c>
      <c r="K140" s="235"/>
      <c r="L140" s="235"/>
      <c r="M140" s="235"/>
      <c r="O140" s="72" t="str">
        <f t="shared" si="6"/>
        <v/>
      </c>
      <c r="P140" s="73" t="str">
        <f t="shared" si="7"/>
        <v/>
      </c>
      <c r="Q140" s="73" t="str">
        <f t="shared" si="8"/>
        <v/>
      </c>
      <c r="R140" s="73" t="str">
        <f t="shared" si="9"/>
        <v/>
      </c>
      <c r="S140" s="73" t="str">
        <f t="shared" si="10"/>
        <v/>
      </c>
      <c r="T140" s="73" t="str">
        <f t="shared" si="11"/>
        <v/>
      </c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</row>
    <row r="141" spans="2:52" ht="18" customHeight="1" x14ac:dyDescent="0.25">
      <c r="B141" s="234"/>
      <c r="C141" s="234"/>
      <c r="D141" s="166"/>
      <c r="E141" s="167"/>
      <c r="F141" s="167"/>
      <c r="G141" s="166"/>
      <c r="H141" s="167"/>
      <c r="I141" s="166"/>
      <c r="J141" s="71" t="str">
        <f>IF(ISERROR(VLOOKUP(#REF!,#REF!,2,FALSE)),"EXCLUDE",VLOOKUP(#REF!,#REF!,2,FALSE))</f>
        <v>EXCLUDE</v>
      </c>
      <c r="K141" s="235"/>
      <c r="L141" s="235"/>
      <c r="M141" s="235"/>
      <c r="O141" s="72" t="str">
        <f t="shared" si="6"/>
        <v/>
      </c>
      <c r="P141" s="73" t="str">
        <f t="shared" si="7"/>
        <v/>
      </c>
      <c r="Q141" s="73" t="str">
        <f t="shared" si="8"/>
        <v/>
      </c>
      <c r="R141" s="73" t="str">
        <f t="shared" si="9"/>
        <v/>
      </c>
      <c r="S141" s="73" t="str">
        <f t="shared" si="10"/>
        <v/>
      </c>
      <c r="T141" s="73" t="str">
        <f t="shared" si="11"/>
        <v/>
      </c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</row>
    <row r="142" spans="2:52" ht="18" customHeight="1" x14ac:dyDescent="0.25">
      <c r="B142" s="234"/>
      <c r="C142" s="234"/>
      <c r="D142" s="166"/>
      <c r="E142" s="167"/>
      <c r="F142" s="167"/>
      <c r="G142" s="166"/>
      <c r="H142" s="167"/>
      <c r="I142" s="166"/>
      <c r="J142" s="71" t="str">
        <f>IF(ISERROR(VLOOKUP(#REF!,#REF!,2,FALSE)),"EXCLUDE",VLOOKUP(#REF!,#REF!,2,FALSE))</f>
        <v>EXCLUDE</v>
      </c>
      <c r="K142" s="235"/>
      <c r="L142" s="235"/>
      <c r="M142" s="235"/>
      <c r="O142" s="72" t="str">
        <f t="shared" si="6"/>
        <v/>
      </c>
      <c r="P142" s="73" t="str">
        <f t="shared" si="7"/>
        <v/>
      </c>
      <c r="Q142" s="73" t="str">
        <f t="shared" si="8"/>
        <v/>
      </c>
      <c r="R142" s="73" t="str">
        <f t="shared" si="9"/>
        <v/>
      </c>
      <c r="S142" s="73" t="str">
        <f t="shared" si="10"/>
        <v/>
      </c>
      <c r="T142" s="73" t="str">
        <f t="shared" si="11"/>
        <v/>
      </c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</row>
    <row r="143" spans="2:52" ht="18" customHeight="1" x14ac:dyDescent="0.25">
      <c r="B143" s="234"/>
      <c r="C143" s="234"/>
      <c r="D143" s="166"/>
      <c r="E143" s="167"/>
      <c r="F143" s="167"/>
      <c r="G143" s="166"/>
      <c r="H143" s="167"/>
      <c r="I143" s="166"/>
      <c r="J143" s="71" t="str">
        <f>IF(ISERROR(VLOOKUP(#REF!,#REF!,2,FALSE)),"EXCLUDE",VLOOKUP(#REF!,#REF!,2,FALSE))</f>
        <v>EXCLUDE</v>
      </c>
      <c r="K143" s="235"/>
      <c r="L143" s="235"/>
      <c r="M143" s="235"/>
      <c r="O143" s="72" t="str">
        <f t="shared" si="6"/>
        <v/>
      </c>
      <c r="P143" s="73" t="str">
        <f t="shared" si="7"/>
        <v/>
      </c>
      <c r="Q143" s="73" t="str">
        <f t="shared" si="8"/>
        <v/>
      </c>
      <c r="R143" s="73" t="str">
        <f t="shared" si="9"/>
        <v/>
      </c>
      <c r="S143" s="73" t="str">
        <f t="shared" si="10"/>
        <v/>
      </c>
      <c r="T143" s="73" t="str">
        <f t="shared" si="11"/>
        <v/>
      </c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</row>
    <row r="144" spans="2:52" ht="18" customHeight="1" x14ac:dyDescent="0.25">
      <c r="B144" s="234"/>
      <c r="C144" s="234"/>
      <c r="D144" s="166"/>
      <c r="E144" s="167"/>
      <c r="F144" s="167"/>
      <c r="G144" s="166"/>
      <c r="H144" s="167"/>
      <c r="I144" s="166"/>
      <c r="J144" s="71" t="str">
        <f>IF(ISERROR(VLOOKUP(#REF!,#REF!,2,FALSE)),"EXCLUDE",VLOOKUP(#REF!,#REF!,2,FALSE))</f>
        <v>EXCLUDE</v>
      </c>
      <c r="K144" s="235"/>
      <c r="L144" s="235"/>
      <c r="M144" s="235"/>
      <c r="O144" s="72" t="str">
        <f t="shared" si="6"/>
        <v/>
      </c>
      <c r="P144" s="73" t="str">
        <f t="shared" si="7"/>
        <v/>
      </c>
      <c r="Q144" s="73" t="str">
        <f t="shared" si="8"/>
        <v/>
      </c>
      <c r="R144" s="73" t="str">
        <f t="shared" si="9"/>
        <v/>
      </c>
      <c r="S144" s="73" t="str">
        <f t="shared" si="10"/>
        <v/>
      </c>
      <c r="T144" s="73" t="str">
        <f t="shared" si="11"/>
        <v/>
      </c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</row>
    <row r="145" spans="2:52" ht="18" customHeight="1" x14ac:dyDescent="0.25">
      <c r="B145" s="234"/>
      <c r="C145" s="234"/>
      <c r="D145" s="166"/>
      <c r="E145" s="167"/>
      <c r="F145" s="166"/>
      <c r="G145" s="166"/>
      <c r="H145" s="166"/>
      <c r="I145" s="166"/>
      <c r="J145" s="71" t="str">
        <f>IF(ISERROR(VLOOKUP(#REF!,#REF!,2,FALSE)),"EXCLUDE",VLOOKUP(#REF!,#REF!,2,FALSE))</f>
        <v>EXCLUDE</v>
      </c>
      <c r="K145" s="235"/>
      <c r="L145" s="235"/>
      <c r="M145" s="235"/>
      <c r="O145" s="72" t="str">
        <f t="shared" si="6"/>
        <v/>
      </c>
      <c r="P145" s="73" t="str">
        <f t="shared" si="7"/>
        <v/>
      </c>
      <c r="Q145" s="73" t="str">
        <f t="shared" si="8"/>
        <v/>
      </c>
      <c r="R145" s="73" t="str">
        <f t="shared" si="9"/>
        <v/>
      </c>
      <c r="S145" s="73" t="str">
        <f t="shared" si="10"/>
        <v/>
      </c>
      <c r="T145" s="73" t="str">
        <f t="shared" si="11"/>
        <v/>
      </c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</row>
    <row r="146" spans="2:52" ht="18" customHeight="1" x14ac:dyDescent="0.25">
      <c r="B146" s="234"/>
      <c r="C146" s="234"/>
      <c r="D146" s="166"/>
      <c r="E146" s="167"/>
      <c r="F146" s="166"/>
      <c r="G146" s="166"/>
      <c r="H146" s="166"/>
      <c r="I146" s="166"/>
      <c r="J146" s="71" t="str">
        <f>IF(ISERROR(VLOOKUP(#REF!,#REF!,2,FALSE)),"EXCLUDE",VLOOKUP(#REF!,#REF!,2,FALSE))</f>
        <v>EXCLUDE</v>
      </c>
      <c r="K146" s="235"/>
      <c r="L146" s="235"/>
      <c r="M146" s="235"/>
      <c r="O146" s="72" t="str">
        <f t="shared" si="6"/>
        <v/>
      </c>
      <c r="P146" s="73" t="str">
        <f t="shared" si="7"/>
        <v/>
      </c>
      <c r="Q146" s="73" t="str">
        <f t="shared" si="8"/>
        <v/>
      </c>
      <c r="R146" s="73" t="str">
        <f t="shared" si="9"/>
        <v/>
      </c>
      <c r="S146" s="73" t="str">
        <f t="shared" si="10"/>
        <v/>
      </c>
      <c r="T146" s="73" t="str">
        <f t="shared" si="11"/>
        <v/>
      </c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</row>
    <row r="147" spans="2:52" ht="18" customHeight="1" x14ac:dyDescent="0.25">
      <c r="B147" s="234"/>
      <c r="C147" s="234"/>
      <c r="D147" s="166"/>
      <c r="E147" s="167"/>
      <c r="F147" s="167"/>
      <c r="G147" s="166"/>
      <c r="H147" s="167"/>
      <c r="I147" s="166"/>
      <c r="J147" s="71" t="str">
        <f>IF(ISERROR(VLOOKUP(#REF!,#REF!,2,FALSE)),"EXCLUDE",VLOOKUP(#REF!,#REF!,2,FALSE))</f>
        <v>EXCLUDE</v>
      </c>
      <c r="K147" s="235"/>
      <c r="L147" s="235"/>
      <c r="M147" s="235"/>
      <c r="O147" s="72" t="str">
        <f t="shared" si="6"/>
        <v/>
      </c>
      <c r="P147" s="73" t="str">
        <f t="shared" si="7"/>
        <v/>
      </c>
      <c r="Q147" s="73" t="str">
        <f t="shared" si="8"/>
        <v/>
      </c>
      <c r="R147" s="73" t="str">
        <f t="shared" si="9"/>
        <v/>
      </c>
      <c r="S147" s="73" t="str">
        <f t="shared" si="10"/>
        <v/>
      </c>
      <c r="T147" s="73" t="str">
        <f t="shared" si="11"/>
        <v/>
      </c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</row>
    <row r="148" spans="2:52" ht="18" customHeight="1" x14ac:dyDescent="0.25">
      <c r="B148" s="234"/>
      <c r="C148" s="234"/>
      <c r="D148" s="166"/>
      <c r="E148" s="167"/>
      <c r="F148" s="166"/>
      <c r="G148" s="166"/>
      <c r="H148" s="166"/>
      <c r="I148" s="166"/>
      <c r="J148" s="71" t="str">
        <f>IF(ISERROR(VLOOKUP(#REF!,#REF!,2,FALSE)),"EXCLUDE",VLOOKUP(#REF!,#REF!,2,FALSE))</f>
        <v>EXCLUDE</v>
      </c>
      <c r="K148" s="235"/>
      <c r="L148" s="235"/>
      <c r="M148" s="235"/>
      <c r="O148" s="72" t="str">
        <f t="shared" si="6"/>
        <v/>
      </c>
      <c r="P148" s="73" t="str">
        <f t="shared" si="7"/>
        <v/>
      </c>
      <c r="Q148" s="73" t="str">
        <f t="shared" si="8"/>
        <v/>
      </c>
      <c r="R148" s="73" t="str">
        <f t="shared" si="9"/>
        <v/>
      </c>
      <c r="S148" s="73" t="str">
        <f t="shared" si="10"/>
        <v/>
      </c>
      <c r="T148" s="73" t="str">
        <f t="shared" si="11"/>
        <v/>
      </c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</row>
    <row r="149" spans="2:52" ht="18" customHeight="1" x14ac:dyDescent="0.25">
      <c r="B149" s="234"/>
      <c r="C149" s="234"/>
      <c r="D149" s="166"/>
      <c r="E149" s="167"/>
      <c r="F149" s="166"/>
      <c r="G149" s="166"/>
      <c r="H149" s="166"/>
      <c r="I149" s="166"/>
      <c r="J149" s="71" t="str">
        <f>IF(ISERROR(VLOOKUP(#REF!,#REF!,2,FALSE)),"EXCLUDE",VLOOKUP(#REF!,#REF!,2,FALSE))</f>
        <v>EXCLUDE</v>
      </c>
      <c r="K149" s="235"/>
      <c r="L149" s="235"/>
      <c r="M149" s="235"/>
      <c r="O149" s="72" t="str">
        <f t="shared" si="6"/>
        <v/>
      </c>
      <c r="P149" s="73" t="str">
        <f t="shared" si="7"/>
        <v/>
      </c>
      <c r="Q149" s="73" t="str">
        <f t="shared" si="8"/>
        <v/>
      </c>
      <c r="R149" s="73" t="str">
        <f t="shared" si="9"/>
        <v/>
      </c>
      <c r="S149" s="73" t="str">
        <f t="shared" si="10"/>
        <v/>
      </c>
      <c r="T149" s="73" t="str">
        <f t="shared" si="11"/>
        <v/>
      </c>
      <c r="AP149" s="192"/>
      <c r="AQ149" s="192"/>
      <c r="AR149" s="192"/>
      <c r="AS149" s="192"/>
      <c r="AT149" s="192"/>
      <c r="AU149" s="192"/>
      <c r="AV149" s="192"/>
      <c r="AW149" s="192"/>
      <c r="AX149" s="192"/>
      <c r="AY149" s="192"/>
      <c r="AZ149" s="192"/>
    </row>
    <row r="150" spans="2:52" ht="18" customHeight="1" x14ac:dyDescent="0.25">
      <c r="B150" s="234"/>
      <c r="C150" s="234"/>
      <c r="D150" s="166"/>
      <c r="E150" s="167"/>
      <c r="F150" s="167"/>
      <c r="G150" s="166"/>
      <c r="H150" s="167"/>
      <c r="I150" s="166"/>
      <c r="J150" s="71" t="str">
        <f>IF(ISERROR(VLOOKUP(#REF!,#REF!,2,FALSE)),"EXCLUDE",VLOOKUP(#REF!,#REF!,2,FALSE))</f>
        <v>EXCLUDE</v>
      </c>
      <c r="K150" s="235"/>
      <c r="L150" s="235"/>
      <c r="M150" s="235"/>
      <c r="O150" s="72" t="str">
        <f t="shared" si="6"/>
        <v/>
      </c>
      <c r="P150" s="73" t="str">
        <f t="shared" si="7"/>
        <v/>
      </c>
      <c r="Q150" s="73" t="str">
        <f t="shared" si="8"/>
        <v/>
      </c>
      <c r="R150" s="73" t="str">
        <f t="shared" si="9"/>
        <v/>
      </c>
      <c r="S150" s="73" t="str">
        <f t="shared" si="10"/>
        <v/>
      </c>
      <c r="T150" s="73" t="str">
        <f t="shared" si="11"/>
        <v/>
      </c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192"/>
    </row>
    <row r="151" spans="2:52" ht="18" customHeight="1" x14ac:dyDescent="0.25">
      <c r="B151" s="234"/>
      <c r="C151" s="234"/>
      <c r="D151" s="166"/>
      <c r="E151" s="167"/>
      <c r="F151" s="167"/>
      <c r="G151" s="166"/>
      <c r="H151" s="167"/>
      <c r="I151" s="166"/>
      <c r="J151" s="71" t="str">
        <f>IF(ISERROR(VLOOKUP(#REF!,#REF!,2,FALSE)),"EXCLUDE",VLOOKUP(#REF!,#REF!,2,FALSE))</f>
        <v>EXCLUDE</v>
      </c>
      <c r="K151" s="235"/>
      <c r="L151" s="235"/>
      <c r="M151" s="235"/>
      <c r="O151" s="72" t="str">
        <f t="shared" si="6"/>
        <v/>
      </c>
      <c r="P151" s="73" t="str">
        <f t="shared" si="7"/>
        <v/>
      </c>
      <c r="Q151" s="73" t="str">
        <f t="shared" si="8"/>
        <v/>
      </c>
      <c r="R151" s="73" t="str">
        <f t="shared" si="9"/>
        <v/>
      </c>
      <c r="S151" s="73" t="str">
        <f t="shared" si="10"/>
        <v/>
      </c>
      <c r="T151" s="73" t="str">
        <f t="shared" si="11"/>
        <v/>
      </c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</row>
    <row r="152" spans="2:52" ht="18" customHeight="1" x14ac:dyDescent="0.25">
      <c r="B152" s="234"/>
      <c r="C152" s="234"/>
      <c r="D152" s="166"/>
      <c r="E152" s="167"/>
      <c r="F152" s="167"/>
      <c r="G152" s="166"/>
      <c r="H152" s="167"/>
      <c r="I152" s="166"/>
      <c r="J152" s="71" t="str">
        <f>IF(ISERROR(VLOOKUP(#REF!,#REF!,2,FALSE)),"EXCLUDE",VLOOKUP(#REF!,#REF!,2,FALSE))</f>
        <v>EXCLUDE</v>
      </c>
      <c r="K152" s="235"/>
      <c r="L152" s="235"/>
      <c r="M152" s="235"/>
      <c r="O152" s="72" t="str">
        <f t="shared" si="6"/>
        <v/>
      </c>
      <c r="P152" s="73" t="str">
        <f t="shared" si="7"/>
        <v/>
      </c>
      <c r="Q152" s="73" t="str">
        <f t="shared" si="8"/>
        <v/>
      </c>
      <c r="R152" s="73" t="str">
        <f t="shared" si="9"/>
        <v/>
      </c>
      <c r="S152" s="73" t="str">
        <f t="shared" si="10"/>
        <v/>
      </c>
      <c r="T152" s="73" t="str">
        <f t="shared" si="11"/>
        <v/>
      </c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</row>
    <row r="153" spans="2:52" ht="18" customHeight="1" x14ac:dyDescent="0.25">
      <c r="B153" s="234"/>
      <c r="C153" s="234"/>
      <c r="D153" s="166"/>
      <c r="E153" s="167"/>
      <c r="F153" s="167"/>
      <c r="G153" s="166"/>
      <c r="H153" s="167"/>
      <c r="I153" s="166"/>
      <c r="J153" s="71" t="str">
        <f>IF(ISERROR(VLOOKUP(#REF!,#REF!,2,FALSE)),"EXCLUDE",VLOOKUP(#REF!,#REF!,2,FALSE))</f>
        <v>EXCLUDE</v>
      </c>
      <c r="K153" s="235"/>
      <c r="L153" s="235"/>
      <c r="M153" s="235"/>
      <c r="O153" s="72" t="str">
        <f t="shared" si="6"/>
        <v/>
      </c>
      <c r="P153" s="73" t="str">
        <f t="shared" si="7"/>
        <v/>
      </c>
      <c r="Q153" s="73" t="str">
        <f t="shared" si="8"/>
        <v/>
      </c>
      <c r="R153" s="73" t="str">
        <f t="shared" si="9"/>
        <v/>
      </c>
      <c r="S153" s="73" t="str">
        <f t="shared" si="10"/>
        <v/>
      </c>
      <c r="T153" s="73" t="str">
        <f t="shared" si="11"/>
        <v/>
      </c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</row>
    <row r="154" spans="2:52" ht="18" customHeight="1" x14ac:dyDescent="0.25">
      <c r="B154" s="234"/>
      <c r="C154" s="234"/>
      <c r="D154" s="166"/>
      <c r="E154" s="167"/>
      <c r="F154" s="166"/>
      <c r="G154" s="166"/>
      <c r="H154" s="166"/>
      <c r="I154" s="166"/>
      <c r="J154" s="71" t="str">
        <f>IF(ISERROR(VLOOKUP(#REF!,#REF!,2,FALSE)),"EXCLUDE",VLOOKUP(#REF!,#REF!,2,FALSE))</f>
        <v>EXCLUDE</v>
      </c>
      <c r="K154" s="235"/>
      <c r="L154" s="235"/>
      <c r="M154" s="235"/>
      <c r="O154" s="72" t="str">
        <f t="shared" si="6"/>
        <v/>
      </c>
      <c r="P154" s="73" t="str">
        <f t="shared" si="7"/>
        <v/>
      </c>
      <c r="Q154" s="73" t="str">
        <f t="shared" si="8"/>
        <v/>
      </c>
      <c r="R154" s="73" t="str">
        <f t="shared" si="9"/>
        <v/>
      </c>
      <c r="S154" s="73" t="str">
        <f t="shared" si="10"/>
        <v/>
      </c>
      <c r="T154" s="73" t="str">
        <f t="shared" si="11"/>
        <v/>
      </c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</row>
    <row r="155" spans="2:52" ht="18" customHeight="1" x14ac:dyDescent="0.25">
      <c r="B155" s="234"/>
      <c r="C155" s="234"/>
      <c r="D155" s="166"/>
      <c r="E155" s="167"/>
      <c r="F155" s="167"/>
      <c r="G155" s="166"/>
      <c r="H155" s="167"/>
      <c r="I155" s="166"/>
      <c r="J155" s="71" t="str">
        <f>IF(ISERROR(VLOOKUP(#REF!,#REF!,2,FALSE)),"EXCLUDE",VLOOKUP(#REF!,#REF!,2,FALSE))</f>
        <v>EXCLUDE</v>
      </c>
      <c r="K155" s="235"/>
      <c r="L155" s="235"/>
      <c r="M155" s="235"/>
      <c r="O155" s="72" t="str">
        <f t="shared" si="6"/>
        <v/>
      </c>
      <c r="P155" s="73" t="str">
        <f t="shared" si="7"/>
        <v/>
      </c>
      <c r="Q155" s="73" t="str">
        <f t="shared" si="8"/>
        <v/>
      </c>
      <c r="R155" s="73" t="str">
        <f t="shared" si="9"/>
        <v/>
      </c>
      <c r="S155" s="73" t="str">
        <f t="shared" si="10"/>
        <v/>
      </c>
      <c r="T155" s="73" t="str">
        <f t="shared" si="11"/>
        <v/>
      </c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</row>
    <row r="156" spans="2:52" ht="18" customHeight="1" x14ac:dyDescent="0.25">
      <c r="B156" s="234"/>
      <c r="C156" s="234"/>
      <c r="D156" s="166"/>
      <c r="E156" s="167"/>
      <c r="F156" s="166"/>
      <c r="G156" s="166"/>
      <c r="H156" s="166"/>
      <c r="I156" s="166"/>
      <c r="J156" s="71" t="str">
        <f>IF(ISERROR(VLOOKUP(#REF!,#REF!,2,FALSE)),"EXCLUDE",VLOOKUP(#REF!,#REF!,2,FALSE))</f>
        <v>EXCLUDE</v>
      </c>
      <c r="K156" s="235"/>
      <c r="L156" s="235"/>
      <c r="M156" s="235"/>
      <c r="O156" s="72" t="str">
        <f t="shared" si="6"/>
        <v/>
      </c>
      <c r="P156" s="73" t="str">
        <f t="shared" si="7"/>
        <v/>
      </c>
      <c r="Q156" s="73" t="str">
        <f t="shared" si="8"/>
        <v/>
      </c>
      <c r="R156" s="73" t="str">
        <f t="shared" si="9"/>
        <v/>
      </c>
      <c r="S156" s="73" t="str">
        <f t="shared" si="10"/>
        <v/>
      </c>
      <c r="T156" s="73" t="str">
        <f t="shared" si="11"/>
        <v/>
      </c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</row>
    <row r="157" spans="2:52" ht="18" customHeight="1" x14ac:dyDescent="0.25">
      <c r="B157" s="234"/>
      <c r="C157" s="234"/>
      <c r="D157" s="166"/>
      <c r="E157" s="167"/>
      <c r="F157" s="166"/>
      <c r="G157" s="166"/>
      <c r="H157" s="166"/>
      <c r="I157" s="166"/>
      <c r="J157" s="71" t="str">
        <f>IF(ISERROR(VLOOKUP(#REF!,#REF!,2,FALSE)),"EXCLUDE",VLOOKUP(#REF!,#REF!,2,FALSE))</f>
        <v>EXCLUDE</v>
      </c>
      <c r="K157" s="235"/>
      <c r="L157" s="235"/>
      <c r="M157" s="235"/>
      <c r="O157" s="72" t="str">
        <f t="shared" si="6"/>
        <v/>
      </c>
      <c r="P157" s="73" t="str">
        <f t="shared" si="7"/>
        <v/>
      </c>
      <c r="Q157" s="73" t="str">
        <f t="shared" si="8"/>
        <v/>
      </c>
      <c r="R157" s="73" t="str">
        <f t="shared" si="9"/>
        <v/>
      </c>
      <c r="S157" s="73" t="str">
        <f t="shared" si="10"/>
        <v/>
      </c>
      <c r="T157" s="73" t="str">
        <f t="shared" si="11"/>
        <v/>
      </c>
      <c r="AP157" s="192"/>
      <c r="AQ157" s="192"/>
      <c r="AR157" s="192"/>
      <c r="AS157" s="192"/>
      <c r="AT157" s="192"/>
      <c r="AU157" s="192"/>
      <c r="AV157" s="192"/>
      <c r="AW157" s="192"/>
      <c r="AX157" s="192"/>
      <c r="AY157" s="192"/>
      <c r="AZ157" s="192"/>
    </row>
    <row r="158" spans="2:52" ht="18" customHeight="1" x14ac:dyDescent="0.25">
      <c r="B158" s="234"/>
      <c r="C158" s="234"/>
      <c r="D158" s="166"/>
      <c r="E158" s="167"/>
      <c r="F158" s="167"/>
      <c r="G158" s="166"/>
      <c r="H158" s="167"/>
      <c r="I158" s="166"/>
      <c r="J158" s="71" t="str">
        <f>IF(ISERROR(VLOOKUP(#REF!,#REF!,2,FALSE)),"EXCLUDE",VLOOKUP(#REF!,#REF!,2,FALSE))</f>
        <v>EXCLUDE</v>
      </c>
      <c r="K158" s="235"/>
      <c r="L158" s="235"/>
      <c r="M158" s="235"/>
      <c r="O158" s="72" t="str">
        <f t="shared" si="6"/>
        <v/>
      </c>
      <c r="P158" s="73" t="str">
        <f t="shared" si="7"/>
        <v/>
      </c>
      <c r="Q158" s="73" t="str">
        <f t="shared" si="8"/>
        <v/>
      </c>
      <c r="R158" s="73" t="str">
        <f t="shared" si="9"/>
        <v/>
      </c>
      <c r="S158" s="73" t="str">
        <f t="shared" si="10"/>
        <v/>
      </c>
      <c r="T158" s="73" t="str">
        <f t="shared" si="11"/>
        <v/>
      </c>
      <c r="AP158" s="192"/>
      <c r="AQ158" s="192"/>
      <c r="AR158" s="192"/>
      <c r="AS158" s="192"/>
      <c r="AT158" s="192"/>
      <c r="AU158" s="192"/>
      <c r="AV158" s="192"/>
      <c r="AW158" s="192"/>
      <c r="AX158" s="192"/>
      <c r="AY158" s="192"/>
      <c r="AZ158" s="192"/>
    </row>
    <row r="159" spans="2:52" ht="18" customHeight="1" x14ac:dyDescent="0.25">
      <c r="B159" s="234"/>
      <c r="C159" s="234"/>
      <c r="D159" s="166"/>
      <c r="E159" s="167"/>
      <c r="F159" s="166"/>
      <c r="G159" s="166"/>
      <c r="H159" s="166"/>
      <c r="I159" s="166"/>
      <c r="J159" s="71" t="str">
        <f>IF(ISERROR(VLOOKUP(#REF!,#REF!,2,FALSE)),"EXCLUDE",VLOOKUP(#REF!,#REF!,2,FALSE))</f>
        <v>EXCLUDE</v>
      </c>
      <c r="K159" s="235"/>
      <c r="L159" s="235"/>
      <c r="M159" s="235"/>
      <c r="O159" s="72" t="str">
        <f t="shared" si="6"/>
        <v/>
      </c>
      <c r="P159" s="73" t="str">
        <f t="shared" si="7"/>
        <v/>
      </c>
      <c r="Q159" s="73" t="str">
        <f t="shared" si="8"/>
        <v/>
      </c>
      <c r="R159" s="73" t="str">
        <f t="shared" si="9"/>
        <v/>
      </c>
      <c r="S159" s="73" t="str">
        <f t="shared" si="10"/>
        <v/>
      </c>
      <c r="T159" s="73" t="str">
        <f t="shared" si="11"/>
        <v/>
      </c>
      <c r="AP159" s="192"/>
      <c r="AQ159" s="192"/>
      <c r="AR159" s="192"/>
      <c r="AS159" s="192"/>
      <c r="AT159" s="192"/>
      <c r="AU159" s="192"/>
      <c r="AV159" s="192"/>
      <c r="AW159" s="192"/>
      <c r="AX159" s="192"/>
      <c r="AY159" s="192"/>
      <c r="AZ159" s="192"/>
    </row>
    <row r="160" spans="2:52" ht="18" customHeight="1" x14ac:dyDescent="0.25">
      <c r="B160" s="234"/>
      <c r="C160" s="234"/>
      <c r="D160" s="166"/>
      <c r="E160" s="167"/>
      <c r="F160" s="166"/>
      <c r="G160" s="166"/>
      <c r="H160" s="166"/>
      <c r="I160" s="166"/>
      <c r="J160" s="71" t="str">
        <f>IF(ISERROR(VLOOKUP(#REF!,#REF!,2,FALSE)),"EXCLUDE",VLOOKUP(#REF!,#REF!,2,FALSE))</f>
        <v>EXCLUDE</v>
      </c>
      <c r="K160" s="235"/>
      <c r="L160" s="235"/>
      <c r="M160" s="235"/>
      <c r="O160" s="75" t="str">
        <f t="shared" si="6"/>
        <v/>
      </c>
      <c r="P160" s="76" t="str">
        <f t="shared" si="7"/>
        <v/>
      </c>
      <c r="Q160" s="76" t="str">
        <f t="shared" si="8"/>
        <v/>
      </c>
      <c r="R160" s="76" t="str">
        <f t="shared" si="9"/>
        <v/>
      </c>
      <c r="S160" s="76" t="str">
        <f t="shared" si="10"/>
        <v/>
      </c>
      <c r="T160" s="76" t="str">
        <f t="shared" si="11"/>
        <v/>
      </c>
      <c r="AP160" s="192"/>
      <c r="AQ160" s="192"/>
      <c r="AR160" s="192"/>
      <c r="AS160" s="192"/>
      <c r="AT160" s="192"/>
      <c r="AU160" s="192"/>
      <c r="AV160" s="192"/>
      <c r="AW160" s="192"/>
      <c r="AX160" s="192"/>
      <c r="AY160" s="192"/>
      <c r="AZ160" s="192"/>
    </row>
    <row r="161" spans="2:35" ht="18" customHeight="1" x14ac:dyDescent="0.25"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AA161" s="46"/>
      <c r="AI161" s="77"/>
    </row>
    <row r="162" spans="2:35" ht="18" customHeight="1" x14ac:dyDescent="0.25"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AA162" s="46"/>
      <c r="AI162" s="77"/>
    </row>
    <row r="163" spans="2:35" ht="18" customHeight="1" x14ac:dyDescent="0.25">
      <c r="C163" s="16"/>
      <c r="D163" s="78" t="s">
        <v>371</v>
      </c>
      <c r="E163" s="78" t="s">
        <v>372</v>
      </c>
      <c r="G163" s="46"/>
      <c r="I163" s="79" t="s">
        <v>373</v>
      </c>
      <c r="J163" s="80">
        <f>IF(D164=0,"",CORREL(Q61:Q160,T61:T160))</f>
        <v>0.99715519767165495</v>
      </c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AA163" s="46"/>
      <c r="AI163" s="77"/>
    </row>
    <row r="164" spans="2:35" ht="18" customHeight="1" x14ac:dyDescent="0.25">
      <c r="C164" s="20" t="s">
        <v>318</v>
      </c>
      <c r="D164" s="73">
        <f>COUNT(Q61:Q160)</f>
        <v>40</v>
      </c>
      <c r="E164" s="73">
        <f>COUNT(T61:T160)</f>
        <v>40</v>
      </c>
      <c r="G164" s="46"/>
      <c r="I164" s="79" t="s">
        <v>374</v>
      </c>
      <c r="J164" s="80">
        <f>IF(D164=0,"",J163^2)</f>
        <v>0.99431848824359725</v>
      </c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AA164" s="46"/>
      <c r="AI164" s="77"/>
    </row>
    <row r="165" spans="2:35" ht="18" customHeight="1" x14ac:dyDescent="0.25">
      <c r="C165" s="65" t="s">
        <v>375</v>
      </c>
      <c r="D165" s="80">
        <f>IF(ISERROR(AVERAGE(Q61:Q160)),"",AVERAGE(Q61:Q160))</f>
        <v>4526.45</v>
      </c>
      <c r="E165" s="80">
        <f>IF(ISERROR(AVERAGE(T61:T160)),"",AVERAGE(T61:T160))</f>
        <v>4569.1125000000002</v>
      </c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AA165" s="46"/>
      <c r="AI165" s="77"/>
    </row>
    <row r="166" spans="2:35" ht="18" customHeight="1" x14ac:dyDescent="0.25"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AA166" s="46"/>
      <c r="AI166" s="77"/>
    </row>
    <row r="167" spans="2:35" ht="18" customHeight="1" x14ac:dyDescent="0.25">
      <c r="B167" s="81"/>
      <c r="C167" s="186" t="s">
        <v>621</v>
      </c>
      <c r="D167" s="186"/>
      <c r="E167" s="186"/>
      <c r="F167" s="186" t="s">
        <v>710</v>
      </c>
      <c r="G167" s="186"/>
      <c r="H167" s="82"/>
      <c r="J167" s="17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AA167" s="46"/>
      <c r="AI167" s="77"/>
    </row>
    <row r="168" spans="2:35" ht="18" customHeight="1" x14ac:dyDescent="0.25">
      <c r="C168" s="187"/>
      <c r="D168" s="188" t="s">
        <v>376</v>
      </c>
      <c r="E168" s="68" t="s">
        <v>377</v>
      </c>
      <c r="F168" s="68" t="s">
        <v>378</v>
      </c>
      <c r="G168" s="68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AA168" s="46"/>
      <c r="AI168" s="77"/>
    </row>
    <row r="169" spans="2:35" ht="18" customHeight="1" x14ac:dyDescent="0.25">
      <c r="C169" s="189" t="s">
        <v>379</v>
      </c>
      <c r="D169" s="190">
        <v>0.9987917109091734</v>
      </c>
      <c r="E169" s="190">
        <v>0.97105585403679417</v>
      </c>
      <c r="F169" s="190">
        <v>1.0276964905040973</v>
      </c>
      <c r="G169" s="190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AA169" s="46"/>
      <c r="AI169" s="77"/>
    </row>
    <row r="170" spans="2:35" ht="18" customHeight="1" x14ac:dyDescent="0.25">
      <c r="B170" s="16"/>
      <c r="C170" s="189" t="s">
        <v>380</v>
      </c>
      <c r="D170" s="190">
        <v>57.228085083484189</v>
      </c>
      <c r="E170" s="190">
        <v>-8.7746197988104768</v>
      </c>
      <c r="F170" s="190">
        <v>125.43558168952535</v>
      </c>
      <c r="G170" s="190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AA170" s="46"/>
      <c r="AI170" s="77"/>
    </row>
    <row r="171" spans="2:35" ht="18" customHeight="1" x14ac:dyDescent="0.25">
      <c r="B171" s="16"/>
      <c r="C171" s="65"/>
      <c r="D171" s="84"/>
      <c r="E171" s="84"/>
      <c r="F171" s="84"/>
      <c r="G171" s="84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AA171" s="46"/>
      <c r="AI171" s="77"/>
    </row>
    <row r="172" spans="2:35" ht="18" customHeight="1" x14ac:dyDescent="0.25">
      <c r="B172" s="16"/>
      <c r="C172" s="65"/>
      <c r="D172" s="84"/>
      <c r="E172" s="84"/>
      <c r="F172" s="84"/>
      <c r="G172" s="84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AA172" s="46"/>
      <c r="AI172" s="77"/>
    </row>
    <row r="173" spans="2:35" ht="18" customHeight="1" x14ac:dyDescent="0.25">
      <c r="B173" s="16"/>
      <c r="C173" s="65"/>
      <c r="D173" s="84"/>
      <c r="E173" s="84"/>
      <c r="F173" s="84"/>
      <c r="G173" s="84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AA173" s="46"/>
      <c r="AI173" s="77"/>
    </row>
    <row r="174" spans="2:35" s="14" customFormat="1" ht="18" customHeight="1" x14ac:dyDescent="0.25">
      <c r="B174" s="85" t="s">
        <v>356</v>
      </c>
      <c r="C174" s="86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Z174" s="87"/>
      <c r="AH174" s="88"/>
    </row>
    <row r="175" spans="2:35" ht="18" customHeight="1" x14ac:dyDescent="0.25">
      <c r="C175" s="16" t="s">
        <v>381</v>
      </c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Z175" s="46"/>
      <c r="AH175" s="77"/>
    </row>
    <row r="176" spans="2:35" ht="18" customHeight="1" x14ac:dyDescent="0.25">
      <c r="C176" s="131"/>
      <c r="D176" s="191"/>
      <c r="E176" s="191"/>
      <c r="F176" s="191"/>
      <c r="G176" s="191"/>
      <c r="H176" s="191"/>
      <c r="I176" s="191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Z176" s="46"/>
      <c r="AH176" s="77"/>
    </row>
    <row r="177" spans="3:34" ht="18" customHeight="1" x14ac:dyDescent="0.25">
      <c r="C177" s="131"/>
      <c r="D177" s="191"/>
      <c r="E177" s="191"/>
      <c r="F177" s="191"/>
      <c r="G177" s="191"/>
      <c r="H177" s="191"/>
      <c r="I177" s="191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Z177" s="46"/>
      <c r="AH177" s="77"/>
    </row>
    <row r="178" spans="3:34" ht="18" customHeight="1" x14ac:dyDescent="0.25">
      <c r="C178" s="131"/>
      <c r="D178" s="191"/>
      <c r="E178" s="191"/>
      <c r="F178" s="191"/>
      <c r="G178" s="191"/>
      <c r="H178" s="191"/>
      <c r="I178" s="191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Z178" s="46"/>
      <c r="AH178" s="77"/>
    </row>
    <row r="179" spans="3:34" ht="18" customHeight="1" x14ac:dyDescent="0.25">
      <c r="C179" s="131"/>
      <c r="D179" s="191"/>
      <c r="E179" s="191"/>
      <c r="F179" s="191"/>
      <c r="G179" s="191"/>
      <c r="H179" s="191"/>
      <c r="I179" s="191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Z179" s="46"/>
      <c r="AH179" s="77"/>
    </row>
    <row r="180" spans="3:34" ht="18" customHeight="1" x14ac:dyDescent="0.25">
      <c r="C180" s="131"/>
      <c r="D180" s="191"/>
      <c r="E180" s="191"/>
      <c r="F180" s="191"/>
      <c r="G180" s="191"/>
      <c r="H180" s="191"/>
      <c r="I180" s="191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Z180" s="46"/>
      <c r="AH180" s="77"/>
    </row>
    <row r="181" spans="3:34" ht="18" customHeight="1" x14ac:dyDescent="0.25">
      <c r="C181" s="131"/>
      <c r="D181" s="191"/>
      <c r="E181" s="191"/>
      <c r="F181" s="191"/>
      <c r="G181" s="191"/>
      <c r="H181" s="191"/>
      <c r="I181" s="191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Z181" s="46"/>
      <c r="AH181" s="77"/>
    </row>
    <row r="182" spans="3:34" ht="18" customHeight="1" x14ac:dyDescent="0.25">
      <c r="C182" s="131"/>
      <c r="D182" s="191"/>
      <c r="E182" s="191"/>
      <c r="F182" s="191"/>
      <c r="G182" s="191"/>
      <c r="H182" s="191"/>
      <c r="I182" s="191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Z182" s="46"/>
      <c r="AH182" s="77"/>
    </row>
    <row r="183" spans="3:34" ht="18" customHeight="1" x14ac:dyDescent="0.25">
      <c r="C183" s="192"/>
      <c r="D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Z183" s="46"/>
      <c r="AH183" s="77"/>
    </row>
    <row r="184" spans="3:34" ht="18" customHeight="1" x14ac:dyDescent="0.25">
      <c r="C184" s="189" t="s">
        <v>622</v>
      </c>
      <c r="D184" s="89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Z184" s="46"/>
      <c r="AH184" s="77"/>
    </row>
    <row r="185" spans="3:34" ht="18" customHeight="1" x14ac:dyDescent="0.25">
      <c r="C185" s="189" t="s">
        <v>623</v>
      </c>
      <c r="D185" s="89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Z185" s="46"/>
      <c r="AH185" s="77"/>
    </row>
    <row r="186" spans="3:34" ht="18" customHeight="1" x14ac:dyDescent="0.25">
      <c r="C186" s="189" t="s">
        <v>624</v>
      </c>
      <c r="D186" s="89"/>
      <c r="E186" s="15" t="str">
        <f>IF(NOT(ISNUMBER(D184)),"",IF(D184&lt;0.5,"Poor agreement",IF(D184&gt;=0.85,"Good agreement","Fair agreement")))</f>
        <v/>
      </c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Z186" s="46"/>
      <c r="AH186" s="77"/>
    </row>
    <row r="187" spans="3:34" ht="18" customHeight="1" x14ac:dyDescent="0.25">
      <c r="C187" s="189" t="s">
        <v>625</v>
      </c>
      <c r="D187" s="89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Z187" s="46"/>
      <c r="AH187" s="90"/>
    </row>
    <row r="188" spans="3:34" ht="18" customHeight="1" x14ac:dyDescent="0.25">
      <c r="C188" s="189" t="s">
        <v>377</v>
      </c>
      <c r="D188" s="89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Z188" s="46"/>
      <c r="AH188" s="90"/>
    </row>
    <row r="189" spans="3:34" ht="18" customHeight="1" x14ac:dyDescent="0.25">
      <c r="C189" s="189" t="s">
        <v>378</v>
      </c>
      <c r="D189" s="89"/>
      <c r="M189" s="192"/>
      <c r="N189" s="193"/>
      <c r="O189" s="193"/>
      <c r="P189" s="193"/>
      <c r="Q189" s="193"/>
      <c r="R189" s="193"/>
      <c r="S189" s="193"/>
      <c r="T189" s="193"/>
      <c r="U189" s="193"/>
      <c r="V189" s="192"/>
      <c r="W189" s="192"/>
      <c r="X189" s="192"/>
      <c r="Z189" s="46"/>
      <c r="AH189" s="90"/>
    </row>
    <row r="190" spans="3:34" ht="18" customHeight="1" x14ac:dyDescent="0.25"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Z190" s="46"/>
    </row>
    <row r="191" spans="3:34" ht="18" customHeight="1" x14ac:dyDescent="0.25"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Z191" s="46"/>
    </row>
    <row r="192" spans="3:34" ht="18" customHeight="1" x14ac:dyDescent="0.25"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</row>
    <row r="193" spans="1:19" s="8" customFormat="1" ht="18" customHeight="1" x14ac:dyDescent="0.25">
      <c r="B193" s="12" t="s">
        <v>383</v>
      </c>
    </row>
    <row r="195" spans="1:19" ht="18" customHeight="1" x14ac:dyDescent="0.25">
      <c r="B195" s="91" t="s">
        <v>384</v>
      </c>
    </row>
    <row r="197" spans="1:19" ht="18" customHeight="1" x14ac:dyDescent="0.25">
      <c r="B197" s="16" t="s">
        <v>385</v>
      </c>
    </row>
    <row r="198" spans="1:19" ht="18" customHeight="1" x14ac:dyDescent="0.25">
      <c r="B198" s="230"/>
      <c r="C198" s="230"/>
      <c r="D198" s="230"/>
      <c r="E198" s="230"/>
      <c r="F198" s="230"/>
      <c r="G198" s="230"/>
      <c r="H198" s="230"/>
    </row>
    <row r="199" spans="1:19" ht="18" customHeight="1" x14ac:dyDescent="0.25">
      <c r="B199" s="16" t="s">
        <v>386</v>
      </c>
    </row>
    <row r="200" spans="1:19" ht="18" customHeight="1" x14ac:dyDescent="0.25">
      <c r="B200" s="227"/>
      <c r="C200" s="229"/>
      <c r="D200" s="92"/>
      <c r="E200" s="92"/>
      <c r="F200" s="92"/>
      <c r="G200" s="92"/>
      <c r="H200" s="92"/>
    </row>
    <row r="201" spans="1:19" ht="18" customHeight="1" x14ac:dyDescent="0.25">
      <c r="B201" s="16" t="s">
        <v>387</v>
      </c>
    </row>
    <row r="202" spans="1:19" ht="18" customHeight="1" x14ac:dyDescent="0.25">
      <c r="A202" s="40"/>
      <c r="B202" s="236"/>
      <c r="C202" s="237"/>
      <c r="D202" s="237"/>
      <c r="E202" s="238"/>
    </row>
    <row r="203" spans="1:19" ht="18" customHeight="1" x14ac:dyDescent="0.25">
      <c r="A203" s="40"/>
      <c r="B203" s="16" t="s">
        <v>388</v>
      </c>
    </row>
    <row r="204" spans="1:19" ht="18" customHeight="1" x14ac:dyDescent="0.25">
      <c r="A204" s="40"/>
      <c r="B204" s="227"/>
      <c r="C204" s="228"/>
      <c r="D204" s="228"/>
      <c r="E204" s="229"/>
      <c r="F204" s="92"/>
      <c r="G204" s="92"/>
      <c r="H204" s="92"/>
    </row>
    <row r="205" spans="1:19" ht="18" customHeight="1" x14ac:dyDescent="0.25">
      <c r="A205" s="40"/>
      <c r="B205" s="16" t="s">
        <v>389</v>
      </c>
    </row>
    <row r="206" spans="1:19" ht="18" customHeight="1" x14ac:dyDescent="0.25">
      <c r="A206" s="40"/>
      <c r="B206" s="227"/>
      <c r="C206" s="228"/>
      <c r="D206" s="228"/>
      <c r="E206" s="229"/>
      <c r="F206" s="92"/>
      <c r="G206" s="92"/>
      <c r="H206" s="92"/>
    </row>
    <row r="207" spans="1:19" ht="18" customHeight="1" x14ac:dyDescent="0.25">
      <c r="A207" s="65"/>
      <c r="B207" s="93"/>
      <c r="C207" s="94"/>
      <c r="D207" s="94"/>
      <c r="E207" s="94"/>
    </row>
    <row r="208" spans="1:19" ht="18" customHeight="1" x14ac:dyDescent="0.25">
      <c r="A208" s="16"/>
      <c r="B208" s="95" t="s">
        <v>390</v>
      </c>
      <c r="C208" s="96"/>
      <c r="D208" s="96"/>
      <c r="E208" s="96"/>
      <c r="F208" s="96"/>
      <c r="G208" s="96"/>
      <c r="H208" s="96"/>
      <c r="I208" s="97"/>
      <c r="J208" s="97"/>
      <c r="K208" s="97"/>
      <c r="L208" s="97"/>
      <c r="M208" s="97"/>
      <c r="S208" s="16" t="s">
        <v>391</v>
      </c>
    </row>
    <row r="209" spans="1:26" ht="18" customHeight="1" x14ac:dyDescent="0.25">
      <c r="A209" s="16"/>
      <c r="B209" s="98"/>
      <c r="C209" s="98"/>
      <c r="D209" s="98"/>
      <c r="E209" s="98"/>
      <c r="F209" s="98"/>
      <c r="G209" s="98"/>
      <c r="H209" s="98"/>
      <c r="I209" s="24"/>
      <c r="J209" s="24"/>
      <c r="K209" s="24"/>
      <c r="S209" s="99" t="s">
        <v>392</v>
      </c>
      <c r="T209" s="100"/>
      <c r="U209" s="100"/>
      <c r="V209" s="101"/>
      <c r="W209" s="99" t="s">
        <v>393</v>
      </c>
      <c r="X209" s="101"/>
    </row>
    <row r="210" spans="1:26" ht="18" customHeight="1" x14ac:dyDescent="0.25">
      <c r="A210" s="16"/>
      <c r="B210" s="224" t="s">
        <v>357</v>
      </c>
      <c r="C210" s="225" t="s">
        <v>394</v>
      </c>
      <c r="D210" s="225" t="s">
        <v>395</v>
      </c>
      <c r="E210" s="225" t="s">
        <v>396</v>
      </c>
      <c r="F210" s="225" t="s">
        <v>397</v>
      </c>
      <c r="G210" s="224" t="s">
        <v>375</v>
      </c>
      <c r="H210" s="225" t="s">
        <v>398</v>
      </c>
      <c r="I210" s="24"/>
      <c r="J210" s="24"/>
      <c r="K210" s="24"/>
      <c r="S210" s="99"/>
      <c r="T210" s="100"/>
      <c r="U210" s="100"/>
      <c r="V210" s="101"/>
      <c r="W210" s="99"/>
      <c r="X210" s="101"/>
    </row>
    <row r="211" spans="1:26" ht="18" customHeight="1" x14ac:dyDescent="0.25">
      <c r="A211" s="16"/>
      <c r="B211" s="224"/>
      <c r="C211" s="225"/>
      <c r="D211" s="225"/>
      <c r="E211" s="225"/>
      <c r="F211" s="225"/>
      <c r="G211" s="224"/>
      <c r="H211" s="225"/>
      <c r="I211" s="24"/>
      <c r="J211" s="24"/>
      <c r="K211" s="24"/>
      <c r="S211" s="99"/>
      <c r="T211" s="100"/>
      <c r="U211" s="100"/>
      <c r="V211" s="101"/>
      <c r="W211" s="99"/>
      <c r="X211" s="101"/>
    </row>
    <row r="212" spans="1:26" ht="18" customHeight="1" x14ac:dyDescent="0.25">
      <c r="A212" s="20"/>
      <c r="B212" s="224"/>
      <c r="C212" s="225"/>
      <c r="D212" s="225"/>
      <c r="E212" s="225"/>
      <c r="F212" s="225"/>
      <c r="G212" s="224"/>
      <c r="H212" s="225"/>
      <c r="I212" s="103"/>
      <c r="S212" s="66" t="s">
        <v>399</v>
      </c>
      <c r="T212" s="66" t="s">
        <v>400</v>
      </c>
      <c r="U212" s="66" t="s">
        <v>401</v>
      </c>
      <c r="V212" s="66" t="s">
        <v>402</v>
      </c>
      <c r="W212" s="66" t="s">
        <v>403</v>
      </c>
      <c r="X212" s="66" t="s">
        <v>404</v>
      </c>
      <c r="Z212" s="64" t="s">
        <v>405</v>
      </c>
    </row>
    <row r="213" spans="1:26" ht="18" customHeight="1" x14ac:dyDescent="0.25">
      <c r="A213" s="46"/>
      <c r="B213" s="169" t="s">
        <v>406</v>
      </c>
      <c r="C213" s="170">
        <v>200</v>
      </c>
      <c r="D213" s="170">
        <v>195</v>
      </c>
      <c r="E213" s="170">
        <v>190</v>
      </c>
      <c r="F213" s="170">
        <v>190</v>
      </c>
      <c r="G213" s="105">
        <f>IF(OR(ISNUMBER(E213),ISNUMBER(F213)),AVERAGE(E213:F213),"")</f>
        <v>190</v>
      </c>
      <c r="H213" s="106" t="str">
        <f t="shared" ref="H213:H220" si="12">IF(ISNUMBER($G213),IF(AND(ISNUMBER(W213),ISNUMBER(X213),G213&gt;W213,G213&lt;X213),"Pass","Fail"),"")</f>
        <v>Pass</v>
      </c>
      <c r="I213" s="39"/>
      <c r="S213" s="107">
        <f t="shared" ref="S213:S220" si="13">IF(ISERROR(STDEV(E213:F213)),0,(STDEV(E213:F213)))</f>
        <v>0</v>
      </c>
      <c r="T213" s="107">
        <f t="shared" ref="T213:T220" si="14">IF(ISERROR(SQRT((S213^2)/$H$225)),"",(SQRT((S213^2)/$H$225)))</f>
        <v>0</v>
      </c>
      <c r="U213" s="108">
        <f t="shared" ref="U213:U220" si="15">IF(ISNUMBER(D213),IF(ISNUMBER(G213),G213-D213,""),"")</f>
        <v>-5</v>
      </c>
      <c r="V213" s="108">
        <f t="shared" ref="V213:V220" si="16">IF(ISNUMBER(D213),IF(ISNUMBER(G213),100*((G213-D213)/D213),""),"")</f>
        <v>-2.5641025641025639</v>
      </c>
      <c r="W213" s="107">
        <f t="shared" ref="W213:W220" si="17">IF(ISERROR(D213-(D213*2*$B$223/SQRT(Z213))),"",D213-(D213*2*$B$223/SQRT(Z213)))</f>
        <v>186.72685066011741</v>
      </c>
      <c r="X213" s="107">
        <f t="shared" ref="X213:X220" si="18">IF(ISERROR(D213+(D213*2*$B$223/SQRT(Z213))),"",D213+(D213*2*$B$223/SQRT(Z213)))</f>
        <v>203.27314933988259</v>
      </c>
      <c r="Z213" s="78">
        <f>COUNT(E213:F213)</f>
        <v>2</v>
      </c>
    </row>
    <row r="214" spans="1:26" ht="18" customHeight="1" x14ac:dyDescent="0.25">
      <c r="A214" s="46"/>
      <c r="B214" s="169" t="s">
        <v>407</v>
      </c>
      <c r="C214" s="170">
        <v>250</v>
      </c>
      <c r="D214" s="170">
        <v>230</v>
      </c>
      <c r="E214" s="170">
        <v>232</v>
      </c>
      <c r="F214" s="170">
        <v>232</v>
      </c>
      <c r="G214" s="105">
        <f t="shared" ref="G214:G220" si="19">IF(OR(ISNUMBER(E214),ISNUMBER(F214)),AVERAGE(E214:F214),"")</f>
        <v>232</v>
      </c>
      <c r="H214" s="106" t="str">
        <f t="shared" si="12"/>
        <v>Pass</v>
      </c>
      <c r="I214" s="39"/>
      <c r="S214" s="107">
        <f t="shared" si="13"/>
        <v>0</v>
      </c>
      <c r="T214" s="107">
        <f t="shared" si="14"/>
        <v>0</v>
      </c>
      <c r="U214" s="108">
        <f t="shared" si="15"/>
        <v>2</v>
      </c>
      <c r="V214" s="108">
        <f t="shared" si="16"/>
        <v>0.86956521739130432</v>
      </c>
      <c r="W214" s="107">
        <f t="shared" si="17"/>
        <v>220.24192641962566</v>
      </c>
      <c r="X214" s="107">
        <f t="shared" si="18"/>
        <v>239.75807358037434</v>
      </c>
      <c r="Z214" s="78">
        <f t="shared" ref="Z214:Z220" si="20">COUNT(E214:F214)</f>
        <v>2</v>
      </c>
    </row>
    <row r="215" spans="1:26" ht="18" customHeight="1" x14ac:dyDescent="0.25">
      <c r="A215" s="46"/>
      <c r="B215" s="169" t="s">
        <v>408</v>
      </c>
      <c r="C215" s="170">
        <v>10</v>
      </c>
      <c r="D215" s="170">
        <v>20</v>
      </c>
      <c r="E215" s="170">
        <v>15</v>
      </c>
      <c r="F215" s="170"/>
      <c r="G215" s="105">
        <f t="shared" si="19"/>
        <v>15</v>
      </c>
      <c r="H215" s="106" t="str">
        <f t="shared" si="12"/>
        <v>Fail</v>
      </c>
      <c r="I215" s="39"/>
      <c r="S215" s="107">
        <f t="shared" si="13"/>
        <v>0</v>
      </c>
      <c r="T215" s="107">
        <f t="shared" si="14"/>
        <v>0</v>
      </c>
      <c r="U215" s="108">
        <f t="shared" si="15"/>
        <v>-5</v>
      </c>
      <c r="V215" s="108">
        <f t="shared" si="16"/>
        <v>-25</v>
      </c>
      <c r="W215" s="107">
        <f t="shared" si="17"/>
        <v>18.8</v>
      </c>
      <c r="X215" s="107">
        <f t="shared" si="18"/>
        <v>21.2</v>
      </c>
      <c r="Z215" s="78">
        <f t="shared" si="20"/>
        <v>1</v>
      </c>
    </row>
    <row r="216" spans="1:26" ht="18" customHeight="1" x14ac:dyDescent="0.25">
      <c r="A216" s="46"/>
      <c r="B216" s="169" t="s">
        <v>409</v>
      </c>
      <c r="C216" s="170">
        <v>35</v>
      </c>
      <c r="D216" s="170">
        <v>38</v>
      </c>
      <c r="E216" s="170">
        <v>35</v>
      </c>
      <c r="F216" s="170">
        <v>35</v>
      </c>
      <c r="G216" s="105">
        <f t="shared" si="19"/>
        <v>35</v>
      </c>
      <c r="H216" s="106" t="str">
        <f t="shared" si="12"/>
        <v>Fail</v>
      </c>
      <c r="I216" s="39"/>
      <c r="S216" s="107">
        <f t="shared" si="13"/>
        <v>0</v>
      </c>
      <c r="T216" s="107">
        <f t="shared" si="14"/>
        <v>0</v>
      </c>
      <c r="U216" s="108">
        <f t="shared" si="15"/>
        <v>-3</v>
      </c>
      <c r="V216" s="108">
        <f t="shared" si="16"/>
        <v>-7.8947368421052628</v>
      </c>
      <c r="W216" s="107">
        <f t="shared" si="17"/>
        <v>36.387796538894669</v>
      </c>
      <c r="X216" s="107">
        <f t="shared" si="18"/>
        <v>39.612203461105331</v>
      </c>
      <c r="Z216" s="78">
        <f t="shared" si="20"/>
        <v>2</v>
      </c>
    </row>
    <row r="217" spans="1:26" ht="18" customHeight="1" x14ac:dyDescent="0.25">
      <c r="A217" s="46"/>
      <c r="B217" s="169" t="s">
        <v>410</v>
      </c>
      <c r="C217" s="170">
        <v>90</v>
      </c>
      <c r="D217" s="170">
        <v>91</v>
      </c>
      <c r="E217" s="170">
        <v>89</v>
      </c>
      <c r="F217" s="170">
        <v>89</v>
      </c>
      <c r="G217" s="105">
        <f t="shared" si="19"/>
        <v>89</v>
      </c>
      <c r="H217" s="106" t="str">
        <f t="shared" si="12"/>
        <v>Pass</v>
      </c>
      <c r="I217" s="39"/>
      <c r="M217" s="39"/>
      <c r="S217" s="107">
        <f t="shared" si="13"/>
        <v>0</v>
      </c>
      <c r="T217" s="107">
        <f t="shared" si="14"/>
        <v>0</v>
      </c>
      <c r="U217" s="108">
        <f t="shared" si="15"/>
        <v>-2</v>
      </c>
      <c r="V217" s="108">
        <f t="shared" si="16"/>
        <v>-2.197802197802198</v>
      </c>
      <c r="W217" s="107">
        <f t="shared" si="17"/>
        <v>87.139196974721457</v>
      </c>
      <c r="X217" s="107">
        <f t="shared" si="18"/>
        <v>94.860803025278543</v>
      </c>
      <c r="Z217" s="78">
        <f t="shared" si="20"/>
        <v>2</v>
      </c>
    </row>
    <row r="218" spans="1:26" ht="18" customHeight="1" x14ac:dyDescent="0.25">
      <c r="A218" s="46"/>
      <c r="B218" s="169" t="s">
        <v>411</v>
      </c>
      <c r="C218" s="170">
        <v>75</v>
      </c>
      <c r="D218" s="170">
        <v>70</v>
      </c>
      <c r="E218" s="170">
        <v>68</v>
      </c>
      <c r="F218" s="170">
        <v>67</v>
      </c>
      <c r="G218" s="105">
        <f t="shared" si="19"/>
        <v>67.5</v>
      </c>
      <c r="H218" s="106" t="str">
        <f t="shared" si="12"/>
        <v>Pass</v>
      </c>
      <c r="I218" s="39"/>
      <c r="M218" s="39"/>
      <c r="S218" s="107">
        <f t="shared" si="13"/>
        <v>0.70710678118654757</v>
      </c>
      <c r="T218" s="107">
        <f t="shared" si="14"/>
        <v>0.2672612419124244</v>
      </c>
      <c r="U218" s="108">
        <f t="shared" si="15"/>
        <v>-2.5</v>
      </c>
      <c r="V218" s="108">
        <f t="shared" si="16"/>
        <v>-3.5714285714285712</v>
      </c>
      <c r="W218" s="107">
        <f t="shared" si="17"/>
        <v>67.030151519016499</v>
      </c>
      <c r="X218" s="107">
        <f t="shared" si="18"/>
        <v>72.969848480983501</v>
      </c>
      <c r="Z218" s="78">
        <f t="shared" si="20"/>
        <v>2</v>
      </c>
    </row>
    <row r="219" spans="1:26" ht="18" customHeight="1" x14ac:dyDescent="0.25">
      <c r="A219" s="46"/>
      <c r="B219" s="169" t="s">
        <v>412</v>
      </c>
      <c r="C219" s="170">
        <v>100</v>
      </c>
      <c r="D219" s="170">
        <v>100</v>
      </c>
      <c r="E219" s="170">
        <v>95</v>
      </c>
      <c r="F219" s="170">
        <v>95</v>
      </c>
      <c r="G219" s="105">
        <f t="shared" si="19"/>
        <v>95</v>
      </c>
      <c r="H219" s="106" t="str">
        <f t="shared" si="12"/>
        <v>Fail</v>
      </c>
      <c r="I219" s="39"/>
      <c r="M219" s="39"/>
      <c r="S219" s="107">
        <f t="shared" si="13"/>
        <v>0</v>
      </c>
      <c r="T219" s="107">
        <f t="shared" si="14"/>
        <v>0</v>
      </c>
      <c r="U219" s="108">
        <f t="shared" si="15"/>
        <v>-5</v>
      </c>
      <c r="V219" s="108">
        <f t="shared" si="16"/>
        <v>-5</v>
      </c>
      <c r="W219" s="107">
        <f t="shared" si="17"/>
        <v>95.757359312880709</v>
      </c>
      <c r="X219" s="107">
        <f t="shared" si="18"/>
        <v>104.24264068711929</v>
      </c>
      <c r="Z219" s="78">
        <f t="shared" si="20"/>
        <v>2</v>
      </c>
    </row>
    <row r="220" spans="1:26" ht="18" customHeight="1" x14ac:dyDescent="0.25">
      <c r="A220" s="46"/>
      <c r="B220" s="169" t="s">
        <v>413</v>
      </c>
      <c r="C220" s="170">
        <v>200</v>
      </c>
      <c r="D220" s="170">
        <v>205</v>
      </c>
      <c r="E220" s="170"/>
      <c r="F220" s="170"/>
      <c r="G220" s="105" t="str">
        <f t="shared" si="19"/>
        <v/>
      </c>
      <c r="H220" s="106" t="str">
        <f t="shared" si="12"/>
        <v/>
      </c>
      <c r="I220" s="39"/>
      <c r="M220" s="39"/>
      <c r="S220" s="107">
        <f t="shared" si="13"/>
        <v>0</v>
      </c>
      <c r="T220" s="107">
        <f t="shared" si="14"/>
        <v>0</v>
      </c>
      <c r="U220" s="108" t="str">
        <f t="shared" si="15"/>
        <v/>
      </c>
      <c r="V220" s="108" t="str">
        <f t="shared" si="16"/>
        <v/>
      </c>
      <c r="W220" s="107" t="str">
        <f t="shared" si="17"/>
        <v/>
      </c>
      <c r="X220" s="107" t="str">
        <f t="shared" si="18"/>
        <v/>
      </c>
      <c r="Z220" s="78">
        <f t="shared" si="20"/>
        <v>0</v>
      </c>
    </row>
    <row r="221" spans="1:26" ht="18" customHeight="1" x14ac:dyDescent="0.25">
      <c r="A221" s="46"/>
      <c r="B221" s="109"/>
      <c r="C221" s="109"/>
      <c r="D221" s="109"/>
      <c r="E221" s="109"/>
      <c r="F221" s="109"/>
      <c r="G221" s="28"/>
      <c r="H221" s="39"/>
      <c r="I221" s="39"/>
      <c r="M221" s="39"/>
    </row>
    <row r="222" spans="1:26" ht="18" customHeight="1" x14ac:dyDescent="0.25">
      <c r="B222" s="16" t="s">
        <v>414</v>
      </c>
      <c r="C222" s="110"/>
      <c r="D222" s="109"/>
      <c r="E222" s="109"/>
      <c r="F222" s="109"/>
      <c r="G222" s="28"/>
      <c r="H222" s="39"/>
      <c r="I222" s="39"/>
      <c r="M222" s="39"/>
      <c r="T222" s="20"/>
    </row>
    <row r="223" spans="1:26" ht="18" customHeight="1" x14ac:dyDescent="0.25">
      <c r="A223" s="40"/>
      <c r="B223" s="171">
        <v>0.03</v>
      </c>
      <c r="C223" s="110"/>
      <c r="T223" s="20"/>
    </row>
    <row r="224" spans="1:26" ht="18" customHeight="1" x14ac:dyDescent="0.25">
      <c r="A224" s="40"/>
      <c r="B224" s="16" t="s">
        <v>415</v>
      </c>
      <c r="G224" s="20" t="s">
        <v>416</v>
      </c>
      <c r="H224" s="108">
        <f>IF(ISNUMBER(B223),IF(ISNUMBER(B225),B223/(B225^0.5),""),"")</f>
        <v>1.3416407864998738E-2</v>
      </c>
      <c r="T224" s="20"/>
    </row>
    <row r="225" spans="2:27" ht="18" customHeight="1" x14ac:dyDescent="0.25">
      <c r="B225" s="170">
        <v>5</v>
      </c>
      <c r="G225" s="20" t="s">
        <v>417</v>
      </c>
      <c r="H225" s="111">
        <f>COUNT(E213:E220)</f>
        <v>7</v>
      </c>
      <c r="T225" s="20"/>
    </row>
    <row r="226" spans="2:27" ht="18" customHeight="1" x14ac:dyDescent="0.25">
      <c r="G226" s="20" t="s">
        <v>418</v>
      </c>
      <c r="H226" s="112">
        <f>IF(F213="",1,2)</f>
        <v>2</v>
      </c>
    </row>
    <row r="228" spans="2:27" ht="18" customHeight="1" x14ac:dyDescent="0.25">
      <c r="B228" s="91" t="s">
        <v>419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30" spans="2:27" ht="18" customHeight="1" x14ac:dyDescent="0.25">
      <c r="B230" s="15" t="s">
        <v>420</v>
      </c>
    </row>
    <row r="231" spans="2:27" ht="18" customHeight="1" x14ac:dyDescent="0.25">
      <c r="B231" s="15" t="s">
        <v>421</v>
      </c>
    </row>
    <row r="232" spans="2:27" ht="18" customHeight="1" x14ac:dyDescent="0.25">
      <c r="B232" s="15" t="s">
        <v>422</v>
      </c>
    </row>
    <row r="233" spans="2:27" ht="18" customHeight="1" x14ac:dyDescent="0.25">
      <c r="B233" s="15" t="s">
        <v>423</v>
      </c>
    </row>
    <row r="234" spans="2:27" ht="18" customHeight="1" x14ac:dyDescent="0.25">
      <c r="B234" s="15" t="s">
        <v>424</v>
      </c>
    </row>
    <row r="235" spans="2:27" ht="18" customHeight="1" x14ac:dyDescent="0.25">
      <c r="B235" s="15" t="s">
        <v>425</v>
      </c>
    </row>
    <row r="237" spans="2:27" ht="18" customHeight="1" x14ac:dyDescent="0.25">
      <c r="B237" s="16" t="s">
        <v>426</v>
      </c>
    </row>
    <row r="238" spans="2:27" ht="18" customHeight="1" x14ac:dyDescent="0.25">
      <c r="B238" s="230"/>
      <c r="C238" s="230"/>
      <c r="D238" s="230"/>
      <c r="E238" s="230"/>
      <c r="F238" s="230"/>
      <c r="G238" s="230"/>
      <c r="H238" s="230"/>
    </row>
    <row r="239" spans="2:27" ht="18" customHeight="1" x14ac:dyDescent="0.25">
      <c r="B239" s="16" t="s">
        <v>386</v>
      </c>
    </row>
    <row r="240" spans="2:27" ht="18" customHeight="1" x14ac:dyDescent="0.25">
      <c r="B240" s="227"/>
      <c r="C240" s="229"/>
      <c r="D240" s="92"/>
      <c r="E240" s="92"/>
      <c r="F240" s="92"/>
      <c r="G240" s="92"/>
      <c r="H240" s="92"/>
    </row>
    <row r="241" spans="1:25" ht="18" customHeight="1" x14ac:dyDescent="0.25">
      <c r="B241" s="16" t="s">
        <v>387</v>
      </c>
    </row>
    <row r="242" spans="1:25" ht="18" customHeight="1" x14ac:dyDescent="0.25">
      <c r="B242" s="231"/>
      <c r="C242" s="232"/>
      <c r="D242" s="232"/>
      <c r="E242" s="233"/>
    </row>
    <row r="243" spans="1:25" ht="18" customHeight="1" x14ac:dyDescent="0.25">
      <c r="B243" s="16" t="s">
        <v>388</v>
      </c>
    </row>
    <row r="244" spans="1:25" ht="18" customHeight="1" x14ac:dyDescent="0.25">
      <c r="A244" s="40"/>
      <c r="B244" s="227"/>
      <c r="C244" s="228"/>
      <c r="D244" s="228"/>
      <c r="E244" s="229"/>
      <c r="F244" s="92"/>
      <c r="G244" s="92"/>
      <c r="H244" s="92"/>
      <c r="P244" s="24"/>
      <c r="Q244" s="24"/>
      <c r="R244" s="24"/>
      <c r="S244" s="24"/>
      <c r="T244" s="24"/>
    </row>
    <row r="245" spans="1:25" ht="18" customHeight="1" x14ac:dyDescent="0.25">
      <c r="A245" s="40"/>
      <c r="B245" s="16" t="s">
        <v>389</v>
      </c>
      <c r="P245" s="24"/>
      <c r="Q245" s="24"/>
      <c r="R245" s="24"/>
      <c r="S245" s="24"/>
      <c r="T245" s="24"/>
    </row>
    <row r="246" spans="1:25" ht="18" customHeight="1" x14ac:dyDescent="0.25">
      <c r="A246" s="40"/>
      <c r="B246" s="227"/>
      <c r="C246" s="228"/>
      <c r="D246" s="228"/>
      <c r="E246" s="229"/>
      <c r="F246" s="92"/>
      <c r="G246" s="92"/>
      <c r="H246" s="92"/>
      <c r="P246" s="24"/>
      <c r="Q246" s="24"/>
      <c r="R246" s="24"/>
      <c r="S246" s="24"/>
      <c r="T246" s="24"/>
    </row>
    <row r="247" spans="1:25" ht="18" customHeight="1" x14ac:dyDescent="0.25">
      <c r="A247" s="40"/>
      <c r="B247" s="92"/>
      <c r="C247" s="92"/>
      <c r="D247" s="92"/>
      <c r="E247" s="92"/>
      <c r="F247" s="92"/>
      <c r="G247" s="92"/>
      <c r="H247" s="92"/>
      <c r="P247" s="24"/>
      <c r="Q247" s="24"/>
      <c r="R247" s="24"/>
      <c r="S247" s="24"/>
      <c r="T247" s="24"/>
    </row>
    <row r="248" spans="1:25" ht="18" customHeight="1" x14ac:dyDescent="0.25">
      <c r="A248" s="16"/>
      <c r="B248" s="113" t="s">
        <v>427</v>
      </c>
      <c r="C248" s="113"/>
      <c r="D248" s="113"/>
      <c r="E248" s="113"/>
      <c r="F248" s="113"/>
      <c r="G248" s="113"/>
      <c r="H248" s="113"/>
      <c r="P248" s="24"/>
      <c r="Q248" s="24"/>
      <c r="R248" s="24"/>
      <c r="S248" s="24"/>
      <c r="T248" s="24"/>
    </row>
    <row r="249" spans="1:25" ht="18" customHeight="1" x14ac:dyDescent="0.25">
      <c r="B249" s="110"/>
      <c r="C249" s="110"/>
      <c r="D249" s="110"/>
      <c r="E249" s="110"/>
      <c r="F249" s="110" t="s">
        <v>336</v>
      </c>
      <c r="G249" s="110"/>
      <c r="H249" s="110"/>
      <c r="I249" s="110"/>
      <c r="J249" s="110"/>
      <c r="M249" s="110"/>
      <c r="N249" s="110"/>
      <c r="P249" s="24"/>
      <c r="Q249" s="24"/>
      <c r="R249" s="24"/>
      <c r="S249" s="24"/>
      <c r="T249" s="24"/>
    </row>
    <row r="250" spans="1:25" ht="18" customHeight="1" x14ac:dyDescent="0.25">
      <c r="B250" s="224" t="s">
        <v>428</v>
      </c>
      <c r="C250" s="225" t="s">
        <v>429</v>
      </c>
      <c r="D250" s="225" t="s">
        <v>396</v>
      </c>
      <c r="E250" s="225" t="s">
        <v>397</v>
      </c>
      <c r="F250" s="225" t="s">
        <v>430</v>
      </c>
      <c r="G250" s="224" t="s">
        <v>375</v>
      </c>
      <c r="H250" s="225" t="s">
        <v>431</v>
      </c>
      <c r="I250" s="225" t="s">
        <v>432</v>
      </c>
      <c r="J250" s="110"/>
      <c r="M250" s="110"/>
      <c r="N250" s="110"/>
      <c r="P250" s="24"/>
      <c r="Q250" s="24"/>
      <c r="R250" s="24"/>
      <c r="S250" s="24"/>
      <c r="T250" s="24"/>
    </row>
    <row r="251" spans="1:25" ht="18" customHeight="1" x14ac:dyDescent="0.25">
      <c r="A251" s="20"/>
      <c r="B251" s="224"/>
      <c r="C251" s="225"/>
      <c r="D251" s="225"/>
      <c r="E251" s="225"/>
      <c r="F251" s="225"/>
      <c r="G251" s="224"/>
      <c r="H251" s="225"/>
      <c r="I251" s="225"/>
      <c r="S251" s="102" t="s">
        <v>433</v>
      </c>
      <c r="T251" s="102" t="s">
        <v>434</v>
      </c>
      <c r="U251" s="102" t="s">
        <v>435</v>
      </c>
      <c r="V251" s="102" t="s">
        <v>436</v>
      </c>
      <c r="W251" s="102" t="s">
        <v>437</v>
      </c>
      <c r="X251" s="102" t="s">
        <v>404</v>
      </c>
      <c r="Y251" s="102" t="s">
        <v>403</v>
      </c>
    </row>
    <row r="252" spans="1:25" ht="18" customHeight="1" x14ac:dyDescent="0.25">
      <c r="A252" s="46" t="str">
        <f>IF(ISNUMBER(G252),1,"")</f>
        <v/>
      </c>
      <c r="B252" s="170"/>
      <c r="C252" s="170"/>
      <c r="D252" s="170"/>
      <c r="E252" s="170"/>
      <c r="F252" s="170"/>
      <c r="G252" s="105" t="str">
        <f>IF(ISNUMBER(D252),AVERAGE(D252:F252),"")</f>
        <v/>
      </c>
      <c r="H252" s="106"/>
      <c r="I252" s="106" t="str">
        <f t="shared" ref="I252:I259" si="21">IF(NOT(ISNUMBER(G252)),"",IF(AND(ISNUMBER(G252),U252&gt;W252),"Fail","Pass"))</f>
        <v/>
      </c>
      <c r="S252" s="107">
        <f t="shared" ref="S252:S259" si="22">IF(ISERROR(STDEV(D252:F252)/SQRT(COUNT(D252:F252))),0,(STDEV(D252:F252)/SQRT(COUNT(D252:F252))))</f>
        <v>0</v>
      </c>
      <c r="T252" s="108" t="str">
        <f t="shared" ref="T252:T259" si="23">IF(ISNUMBER(C252),IF(ISNUMBER(G252),ABS(G252-C252),""),"")</f>
        <v/>
      </c>
      <c r="U252" s="107" t="e">
        <f t="shared" ref="U252:U259" si="24">$T252-_xlfn.T.INV(1-$B$261/2,COUNT($D252:$F252)-1)*$S252</f>
        <v>#VALUE!</v>
      </c>
      <c r="V252" s="107" t="e">
        <f t="shared" ref="V252:V259" si="25">$T252+_xlfn.T.INV(1-$B$261/2,COUNT($D252:$F252)-1)*$S252</f>
        <v>#VALUE!</v>
      </c>
      <c r="W252" s="108">
        <f t="shared" ref="W252:W259" si="26">ABS($B$261*C252)</f>
        <v>0</v>
      </c>
      <c r="X252" s="107">
        <f t="shared" ref="X252:X259" si="27">IF(ISERROR($C252-($C252*$B$261)),"",$C252-($C252*$B$261))</f>
        <v>0</v>
      </c>
      <c r="Y252" s="107">
        <f t="shared" ref="Y252:Y259" si="28">IF(ISERROR($C252+($C252*$B$261)),"",$C252+($C252*$B$261))</f>
        <v>0</v>
      </c>
    </row>
    <row r="253" spans="1:25" ht="18" customHeight="1" x14ac:dyDescent="0.25">
      <c r="A253" s="46" t="str">
        <f t="shared" ref="A253:A259" si="29">IF(ISNUMBER(G253),1+A252,"")</f>
        <v/>
      </c>
      <c r="B253" s="170"/>
      <c r="C253" s="170"/>
      <c r="D253" s="170"/>
      <c r="E253" s="170"/>
      <c r="F253" s="170"/>
      <c r="G253" s="105" t="str">
        <f t="shared" ref="G253:G259" si="30">IF(ISNUMBER(D253),AVERAGE(D253:F253),"")</f>
        <v/>
      </c>
      <c r="H253" s="106" t="str">
        <f t="shared" ref="H253:H259" si="31">IF(NOT(ISNUMBER(G253)),"",IF(AND(ISNUMBER(G253),G253&gt;=X253,G253&lt;=Y253),"Pass","Fail"))</f>
        <v/>
      </c>
      <c r="I253" s="106" t="str">
        <f t="shared" si="21"/>
        <v/>
      </c>
      <c r="S253" s="107">
        <f t="shared" si="22"/>
        <v>0</v>
      </c>
      <c r="T253" s="108" t="str">
        <f t="shared" si="23"/>
        <v/>
      </c>
      <c r="U253" s="107" t="e">
        <f t="shared" si="24"/>
        <v>#VALUE!</v>
      </c>
      <c r="V253" s="107" t="e">
        <f t="shared" si="25"/>
        <v>#VALUE!</v>
      </c>
      <c r="W253" s="108">
        <f t="shared" si="26"/>
        <v>0</v>
      </c>
      <c r="X253" s="107">
        <f t="shared" si="27"/>
        <v>0</v>
      </c>
      <c r="Y253" s="107">
        <f t="shared" si="28"/>
        <v>0</v>
      </c>
    </row>
    <row r="254" spans="1:25" ht="18" customHeight="1" x14ac:dyDescent="0.25">
      <c r="A254" s="46" t="str">
        <f t="shared" si="29"/>
        <v/>
      </c>
      <c r="B254" s="170"/>
      <c r="C254" s="170"/>
      <c r="D254" s="170"/>
      <c r="E254" s="170"/>
      <c r="F254" s="170"/>
      <c r="G254" s="105" t="str">
        <f t="shared" si="30"/>
        <v/>
      </c>
      <c r="H254" s="106" t="str">
        <f t="shared" si="31"/>
        <v/>
      </c>
      <c r="I254" s="106" t="str">
        <f t="shared" si="21"/>
        <v/>
      </c>
      <c r="S254" s="107">
        <f t="shared" si="22"/>
        <v>0</v>
      </c>
      <c r="T254" s="108" t="str">
        <f t="shared" si="23"/>
        <v/>
      </c>
      <c r="U254" s="107" t="e">
        <f t="shared" si="24"/>
        <v>#VALUE!</v>
      </c>
      <c r="V254" s="107" t="e">
        <f t="shared" si="25"/>
        <v>#VALUE!</v>
      </c>
      <c r="W254" s="108">
        <f t="shared" si="26"/>
        <v>0</v>
      </c>
      <c r="X254" s="107">
        <f t="shared" si="27"/>
        <v>0</v>
      </c>
      <c r="Y254" s="107">
        <f t="shared" si="28"/>
        <v>0</v>
      </c>
    </row>
    <row r="255" spans="1:25" ht="18" customHeight="1" x14ac:dyDescent="0.25">
      <c r="A255" s="46" t="str">
        <f t="shared" si="29"/>
        <v/>
      </c>
      <c r="B255" s="170"/>
      <c r="C255" s="170"/>
      <c r="D255" s="170"/>
      <c r="E255" s="170"/>
      <c r="F255" s="170"/>
      <c r="G255" s="105" t="str">
        <f t="shared" si="30"/>
        <v/>
      </c>
      <c r="H255" s="106" t="str">
        <f t="shared" si="31"/>
        <v/>
      </c>
      <c r="I255" s="106" t="str">
        <f t="shared" si="21"/>
        <v/>
      </c>
      <c r="S255" s="107">
        <f t="shared" si="22"/>
        <v>0</v>
      </c>
      <c r="T255" s="108" t="str">
        <f t="shared" si="23"/>
        <v/>
      </c>
      <c r="U255" s="107" t="e">
        <f t="shared" si="24"/>
        <v>#VALUE!</v>
      </c>
      <c r="V255" s="107" t="e">
        <f t="shared" si="25"/>
        <v>#VALUE!</v>
      </c>
      <c r="W255" s="108">
        <f t="shared" si="26"/>
        <v>0</v>
      </c>
      <c r="X255" s="107">
        <f t="shared" si="27"/>
        <v>0</v>
      </c>
      <c r="Y255" s="107">
        <f t="shared" si="28"/>
        <v>0</v>
      </c>
    </row>
    <row r="256" spans="1:25" ht="18" customHeight="1" x14ac:dyDescent="0.25">
      <c r="A256" s="46" t="str">
        <f t="shared" si="29"/>
        <v/>
      </c>
      <c r="B256" s="170"/>
      <c r="C256" s="170"/>
      <c r="D256" s="170"/>
      <c r="E256" s="170"/>
      <c r="F256" s="170"/>
      <c r="G256" s="105" t="str">
        <f t="shared" si="30"/>
        <v/>
      </c>
      <c r="H256" s="106" t="str">
        <f t="shared" si="31"/>
        <v/>
      </c>
      <c r="I256" s="106" t="str">
        <f t="shared" si="21"/>
        <v/>
      </c>
      <c r="S256" s="107">
        <f t="shared" si="22"/>
        <v>0</v>
      </c>
      <c r="T256" s="108" t="str">
        <f t="shared" si="23"/>
        <v/>
      </c>
      <c r="U256" s="107" t="e">
        <f t="shared" si="24"/>
        <v>#VALUE!</v>
      </c>
      <c r="V256" s="107" t="e">
        <f t="shared" si="25"/>
        <v>#VALUE!</v>
      </c>
      <c r="W256" s="108">
        <f t="shared" si="26"/>
        <v>0</v>
      </c>
      <c r="X256" s="107">
        <f t="shared" si="27"/>
        <v>0</v>
      </c>
      <c r="Y256" s="107">
        <f t="shared" si="28"/>
        <v>0</v>
      </c>
    </row>
    <row r="257" spans="1:25" ht="18" customHeight="1" x14ac:dyDescent="0.25">
      <c r="A257" s="46" t="str">
        <f t="shared" si="29"/>
        <v/>
      </c>
      <c r="B257" s="170"/>
      <c r="C257" s="170"/>
      <c r="D257" s="170"/>
      <c r="E257" s="170"/>
      <c r="F257" s="170"/>
      <c r="G257" s="105" t="str">
        <f t="shared" si="30"/>
        <v/>
      </c>
      <c r="H257" s="106" t="str">
        <f t="shared" si="31"/>
        <v/>
      </c>
      <c r="I257" s="106" t="str">
        <f t="shared" si="21"/>
        <v/>
      </c>
      <c r="S257" s="107">
        <f t="shared" si="22"/>
        <v>0</v>
      </c>
      <c r="T257" s="108" t="str">
        <f t="shared" si="23"/>
        <v/>
      </c>
      <c r="U257" s="107" t="e">
        <f t="shared" si="24"/>
        <v>#VALUE!</v>
      </c>
      <c r="V257" s="107" t="e">
        <f t="shared" si="25"/>
        <v>#VALUE!</v>
      </c>
      <c r="W257" s="108">
        <f t="shared" si="26"/>
        <v>0</v>
      </c>
      <c r="X257" s="107">
        <f t="shared" si="27"/>
        <v>0</v>
      </c>
      <c r="Y257" s="107">
        <f t="shared" si="28"/>
        <v>0</v>
      </c>
    </row>
    <row r="258" spans="1:25" ht="18" customHeight="1" x14ac:dyDescent="0.25">
      <c r="A258" s="46" t="str">
        <f t="shared" si="29"/>
        <v/>
      </c>
      <c r="B258" s="170"/>
      <c r="C258" s="170"/>
      <c r="D258" s="170"/>
      <c r="E258" s="170"/>
      <c r="F258" s="170"/>
      <c r="G258" s="105" t="str">
        <f t="shared" si="30"/>
        <v/>
      </c>
      <c r="H258" s="106" t="str">
        <f t="shared" si="31"/>
        <v/>
      </c>
      <c r="I258" s="106" t="str">
        <f t="shared" si="21"/>
        <v/>
      </c>
      <c r="S258" s="107">
        <f t="shared" si="22"/>
        <v>0</v>
      </c>
      <c r="T258" s="108" t="str">
        <f t="shared" si="23"/>
        <v/>
      </c>
      <c r="U258" s="107" t="e">
        <f t="shared" si="24"/>
        <v>#VALUE!</v>
      </c>
      <c r="V258" s="107" t="e">
        <f t="shared" si="25"/>
        <v>#VALUE!</v>
      </c>
      <c r="W258" s="108">
        <f t="shared" si="26"/>
        <v>0</v>
      </c>
      <c r="X258" s="107">
        <f t="shared" si="27"/>
        <v>0</v>
      </c>
      <c r="Y258" s="107">
        <f t="shared" si="28"/>
        <v>0</v>
      </c>
    </row>
    <row r="259" spans="1:25" ht="18" customHeight="1" x14ac:dyDescent="0.25">
      <c r="A259" s="46" t="str">
        <f t="shared" si="29"/>
        <v/>
      </c>
      <c r="B259" s="170"/>
      <c r="C259" s="170"/>
      <c r="D259" s="170"/>
      <c r="E259" s="170"/>
      <c r="F259" s="170"/>
      <c r="G259" s="105" t="str">
        <f t="shared" si="30"/>
        <v/>
      </c>
      <c r="H259" s="106" t="str">
        <f t="shared" si="31"/>
        <v/>
      </c>
      <c r="I259" s="106" t="str">
        <f t="shared" si="21"/>
        <v/>
      </c>
      <c r="S259" s="107">
        <f t="shared" si="22"/>
        <v>0</v>
      </c>
      <c r="T259" s="108" t="str">
        <f t="shared" si="23"/>
        <v/>
      </c>
      <c r="U259" s="107" t="e">
        <f t="shared" si="24"/>
        <v>#VALUE!</v>
      </c>
      <c r="V259" s="107" t="e">
        <f t="shared" si="25"/>
        <v>#VALUE!</v>
      </c>
      <c r="W259" s="108">
        <f t="shared" si="26"/>
        <v>0</v>
      </c>
      <c r="X259" s="107">
        <f t="shared" si="27"/>
        <v>0</v>
      </c>
      <c r="Y259" s="107">
        <f t="shared" si="28"/>
        <v>0</v>
      </c>
    </row>
    <row r="260" spans="1:25" ht="18" customHeight="1" x14ac:dyDescent="0.25">
      <c r="A260" s="46"/>
      <c r="B260" s="17" t="s">
        <v>438</v>
      </c>
      <c r="C260" s="25"/>
      <c r="D260" s="83" t="s">
        <v>439</v>
      </c>
      <c r="E260" s="25"/>
      <c r="F260" s="25"/>
      <c r="G260" s="114"/>
      <c r="H260" s="114"/>
      <c r="I260" s="114"/>
      <c r="J260" s="39"/>
      <c r="M260" s="39"/>
      <c r="N260" s="39"/>
      <c r="S260" s="24"/>
      <c r="T260" s="24"/>
      <c r="U260" s="24"/>
      <c r="V260" s="24"/>
      <c r="W260" s="24"/>
      <c r="X260" s="24"/>
    </row>
    <row r="261" spans="1:25" ht="18" customHeight="1" x14ac:dyDescent="0.25">
      <c r="A261" s="20"/>
      <c r="B261" s="172"/>
      <c r="C261" s="17"/>
      <c r="D261" s="115">
        <v>0.05</v>
      </c>
      <c r="E261" s="25"/>
      <c r="F261" s="25"/>
      <c r="G261" s="25"/>
      <c r="H261" s="25"/>
      <c r="I261" s="25"/>
      <c r="J261" s="25"/>
      <c r="M261" s="38"/>
      <c r="N261" s="39"/>
      <c r="S261" s="24"/>
      <c r="T261" s="24"/>
      <c r="U261" s="24"/>
      <c r="V261" s="24"/>
      <c r="W261" s="24"/>
      <c r="X261" s="24"/>
    </row>
    <row r="262" spans="1:25" ht="18" customHeight="1" x14ac:dyDescent="0.25">
      <c r="A262" s="20"/>
      <c r="C262" s="110"/>
      <c r="D262" s="110"/>
      <c r="E262" s="110"/>
      <c r="F262" s="110"/>
      <c r="G262" s="110"/>
      <c r="H262" s="110"/>
      <c r="I262" s="110"/>
      <c r="J262" s="110"/>
      <c r="M262" s="110"/>
      <c r="N262" s="110"/>
      <c r="S262" s="24"/>
      <c r="T262" s="24"/>
      <c r="U262" s="24"/>
      <c r="V262" s="24"/>
      <c r="W262" s="24"/>
      <c r="X262" s="24"/>
    </row>
    <row r="281" spans="1:6" s="10" customFormat="1" ht="18" customHeight="1" x14ac:dyDescent="0.25">
      <c r="A281" s="8"/>
      <c r="B281" s="8" t="s">
        <v>440</v>
      </c>
    </row>
    <row r="282" spans="1:6" s="49" customFormat="1" ht="18" customHeight="1" x14ac:dyDescent="0.25">
      <c r="A282" s="48"/>
      <c r="B282" s="48"/>
    </row>
    <row r="283" spans="1:6" ht="18" customHeight="1" x14ac:dyDescent="0.25">
      <c r="B283" s="16" t="s">
        <v>441</v>
      </c>
    </row>
    <row r="284" spans="1:6" ht="18" customHeight="1" x14ac:dyDescent="0.25">
      <c r="B284" s="212"/>
      <c r="C284" s="212"/>
      <c r="D284" s="212"/>
      <c r="E284" s="93"/>
      <c r="F284" s="93"/>
    </row>
    <row r="285" spans="1:6" ht="18" customHeight="1" x14ac:dyDescent="0.25">
      <c r="B285" s="16" t="s">
        <v>442</v>
      </c>
      <c r="C285" s="65"/>
      <c r="D285" s="226"/>
      <c r="E285" s="226"/>
      <c r="F285" s="226"/>
    </row>
    <row r="286" spans="1:6" ht="18" customHeight="1" x14ac:dyDescent="0.25">
      <c r="B286" s="212"/>
      <c r="C286" s="212"/>
      <c r="D286" s="212"/>
      <c r="E286" s="33"/>
      <c r="F286" s="33"/>
    </row>
    <row r="287" spans="1:6" ht="18" customHeight="1" x14ac:dyDescent="0.25">
      <c r="A287" s="40"/>
      <c r="B287" s="16" t="s">
        <v>354</v>
      </c>
    </row>
    <row r="288" spans="1:6" ht="18" customHeight="1" x14ac:dyDescent="0.25">
      <c r="A288" s="40"/>
      <c r="B288" s="212"/>
      <c r="C288" s="212"/>
      <c r="D288" s="212"/>
    </row>
    <row r="289" spans="1:27" ht="18" customHeight="1" x14ac:dyDescent="0.25">
      <c r="A289" s="116"/>
      <c r="B289" s="16" t="s">
        <v>355</v>
      </c>
    </row>
    <row r="290" spans="1:27" ht="18" customHeight="1" x14ac:dyDescent="0.25">
      <c r="A290" s="116"/>
      <c r="B290" s="212"/>
      <c r="C290" s="212"/>
      <c r="D290" s="212"/>
    </row>
    <row r="292" spans="1:27" ht="18" customHeight="1" x14ac:dyDescent="0.25">
      <c r="C292" s="110"/>
      <c r="D292" s="110" t="s">
        <v>461</v>
      </c>
    </row>
    <row r="293" spans="1:27" ht="18" customHeight="1" x14ac:dyDescent="0.25">
      <c r="D293" s="117" t="s">
        <v>445</v>
      </c>
      <c r="E293" s="66" t="s">
        <v>446</v>
      </c>
      <c r="F293" s="66" t="s">
        <v>447</v>
      </c>
      <c r="G293" s="118" t="s">
        <v>448</v>
      </c>
    </row>
    <row r="294" spans="1:27" ht="18" customHeight="1" x14ac:dyDescent="0.25">
      <c r="C294" s="20" t="s">
        <v>375</v>
      </c>
      <c r="D294" s="166">
        <v>106</v>
      </c>
      <c r="E294" s="166">
        <v>463</v>
      </c>
      <c r="F294" s="166">
        <v>106</v>
      </c>
      <c r="G294" s="166">
        <v>463</v>
      </c>
    </row>
    <row r="295" spans="1:27" ht="18" customHeight="1" x14ac:dyDescent="0.25">
      <c r="C295" s="65" t="s">
        <v>458</v>
      </c>
      <c r="D295" s="173">
        <v>0.01</v>
      </c>
      <c r="E295" s="173">
        <v>0.01</v>
      </c>
      <c r="F295" s="173">
        <v>0.01</v>
      </c>
      <c r="G295" s="173">
        <v>0.01</v>
      </c>
    </row>
    <row r="296" spans="1:27" ht="18" customHeight="1" x14ac:dyDescent="0.25">
      <c r="C296" s="65" t="s">
        <v>460</v>
      </c>
      <c r="D296" s="173">
        <v>2.5999999999999999E-2</v>
      </c>
      <c r="E296" s="173">
        <v>2.5999999999999999E-2</v>
      </c>
      <c r="F296" s="173">
        <v>2.5999999999999999E-2</v>
      </c>
      <c r="G296" s="173">
        <v>2.5999999999999999E-2</v>
      </c>
    </row>
    <row r="298" spans="1:27" ht="18" customHeight="1" x14ac:dyDescent="0.25">
      <c r="C298" s="119" t="s">
        <v>443</v>
      </c>
      <c r="D298" s="119"/>
      <c r="E298" s="119"/>
      <c r="F298" s="119"/>
      <c r="G298" s="119"/>
      <c r="W298" s="16"/>
    </row>
    <row r="299" spans="1:27" ht="18" customHeight="1" x14ac:dyDescent="0.25">
      <c r="B299" s="64" t="s">
        <v>444</v>
      </c>
      <c r="C299" s="64" t="s">
        <v>323</v>
      </c>
      <c r="D299" s="117" t="s">
        <v>445</v>
      </c>
      <c r="E299" s="66" t="s">
        <v>446</v>
      </c>
      <c r="F299" s="66" t="s">
        <v>447</v>
      </c>
      <c r="G299" s="118" t="s">
        <v>448</v>
      </c>
      <c r="W299" s="194" t="s">
        <v>375</v>
      </c>
      <c r="X299" s="131">
        <v>93.56</v>
      </c>
      <c r="Y299" s="131">
        <v>409.62800000000004</v>
      </c>
      <c r="Z299" s="131">
        <v>93.56</v>
      </c>
      <c r="AA299" s="131">
        <v>409.62800000000004</v>
      </c>
    </row>
    <row r="300" spans="1:27" ht="18" customHeight="1" x14ac:dyDescent="0.25">
      <c r="B300" s="184" t="s">
        <v>449</v>
      </c>
      <c r="C300" s="174" t="s">
        <v>450</v>
      </c>
      <c r="D300" s="166">
        <v>95.1</v>
      </c>
      <c r="E300" s="166">
        <v>418.2</v>
      </c>
      <c r="F300" s="166">
        <v>95.1</v>
      </c>
      <c r="G300" s="166">
        <v>418.2</v>
      </c>
      <c r="W300" s="194" t="s">
        <v>632</v>
      </c>
      <c r="X300" s="131">
        <v>144.5800000000163</v>
      </c>
      <c r="Y300" s="131">
        <v>1653.3903999980539</v>
      </c>
      <c r="Z300" s="131">
        <v>144.5800000000163</v>
      </c>
      <c r="AA300" s="131">
        <v>1653.3903999980539</v>
      </c>
    </row>
    <row r="301" spans="1:27" ht="18" customHeight="1" x14ac:dyDescent="0.25">
      <c r="B301" s="184" t="s">
        <v>449</v>
      </c>
      <c r="C301" s="174" t="s">
        <v>450</v>
      </c>
      <c r="D301" s="166">
        <v>95.2</v>
      </c>
      <c r="E301" s="166">
        <v>415.2</v>
      </c>
      <c r="F301" s="166">
        <v>95.2</v>
      </c>
      <c r="G301" s="166">
        <v>415.2</v>
      </c>
      <c r="W301" s="194" t="s">
        <v>633</v>
      </c>
      <c r="X301" s="131">
        <v>83.75199999997858</v>
      </c>
      <c r="Y301" s="131">
        <v>1426.5863999975845</v>
      </c>
      <c r="Z301" s="131">
        <v>83.75199999997858</v>
      </c>
      <c r="AA301" s="131">
        <v>1426.5863999975845</v>
      </c>
    </row>
    <row r="302" spans="1:27" ht="18" customHeight="1" x14ac:dyDescent="0.25">
      <c r="B302" s="184" t="s">
        <v>449</v>
      </c>
      <c r="C302" s="174" t="s">
        <v>450</v>
      </c>
      <c r="D302" s="166">
        <v>95.8</v>
      </c>
      <c r="E302" s="166">
        <v>416.9</v>
      </c>
      <c r="F302" s="166">
        <v>95.8</v>
      </c>
      <c r="G302" s="166">
        <v>416.9</v>
      </c>
      <c r="W302" s="194" t="s">
        <v>634</v>
      </c>
      <c r="X302" s="131">
        <v>60.828000000037719</v>
      </c>
      <c r="Y302" s="131">
        <v>226.80400000046939</v>
      </c>
      <c r="Z302" s="131">
        <v>60.828000000037719</v>
      </c>
      <c r="AA302" s="131">
        <v>226.80400000046939</v>
      </c>
    </row>
    <row r="303" spans="1:27" ht="18" customHeight="1" x14ac:dyDescent="0.25">
      <c r="B303" s="184" t="s">
        <v>449</v>
      </c>
      <c r="C303" s="174" t="s">
        <v>450</v>
      </c>
      <c r="D303" s="166">
        <v>95.4</v>
      </c>
      <c r="E303" s="166">
        <v>416.3</v>
      </c>
      <c r="F303" s="166">
        <v>95.4</v>
      </c>
      <c r="G303" s="166">
        <v>416.3</v>
      </c>
      <c r="W303" s="194" t="s">
        <v>635</v>
      </c>
      <c r="X303" s="131">
        <v>24</v>
      </c>
      <c r="Y303" s="131">
        <v>24</v>
      </c>
      <c r="Z303" s="131">
        <v>24</v>
      </c>
      <c r="AA303" s="131">
        <v>24</v>
      </c>
    </row>
    <row r="304" spans="1:27" ht="18" customHeight="1" x14ac:dyDescent="0.25">
      <c r="B304" s="184" t="s">
        <v>449</v>
      </c>
      <c r="C304" s="174" t="s">
        <v>450</v>
      </c>
      <c r="D304" s="166">
        <v>95.9</v>
      </c>
      <c r="E304" s="166">
        <v>416.8</v>
      </c>
      <c r="F304" s="166">
        <v>95.9</v>
      </c>
      <c r="G304" s="166">
        <v>416.8</v>
      </c>
      <c r="W304" s="194" t="s">
        <v>636</v>
      </c>
      <c r="X304" s="131">
        <v>20</v>
      </c>
      <c r="Y304" s="131">
        <v>20</v>
      </c>
      <c r="Z304" s="131">
        <v>20</v>
      </c>
      <c r="AA304" s="131">
        <v>20</v>
      </c>
    </row>
    <row r="305" spans="2:27" ht="18" customHeight="1" x14ac:dyDescent="0.25">
      <c r="B305" s="184" t="s">
        <v>451</v>
      </c>
      <c r="C305" s="174" t="s">
        <v>450</v>
      </c>
      <c r="D305" s="166">
        <v>98.2</v>
      </c>
      <c r="E305" s="166">
        <v>421.3</v>
      </c>
      <c r="F305" s="166">
        <v>98.2</v>
      </c>
      <c r="G305" s="166">
        <v>421.3</v>
      </c>
      <c r="W305" s="194" t="s">
        <v>637</v>
      </c>
      <c r="X305" s="131">
        <v>4</v>
      </c>
      <c r="Y305" s="131">
        <v>4</v>
      </c>
      <c r="Z305" s="131">
        <v>4</v>
      </c>
      <c r="AA305" s="131">
        <v>4</v>
      </c>
    </row>
    <row r="306" spans="2:27" ht="18" customHeight="1" x14ac:dyDescent="0.25">
      <c r="B306" s="184" t="s">
        <v>451</v>
      </c>
      <c r="C306" s="174" t="s">
        <v>450</v>
      </c>
      <c r="D306" s="166">
        <v>96.6</v>
      </c>
      <c r="E306" s="166">
        <v>416.7</v>
      </c>
      <c r="F306" s="166">
        <v>96.6</v>
      </c>
      <c r="G306" s="166">
        <v>416.7</v>
      </c>
      <c r="W306" s="194" t="s">
        <v>638</v>
      </c>
      <c r="X306" s="131">
        <v>20.937999999994645</v>
      </c>
      <c r="Y306" s="131">
        <v>356.64659999939613</v>
      </c>
      <c r="Z306" s="131">
        <v>20.937999999994645</v>
      </c>
      <c r="AA306" s="131">
        <v>356.64659999939613</v>
      </c>
    </row>
    <row r="307" spans="2:27" ht="18" customHeight="1" x14ac:dyDescent="0.25">
      <c r="B307" s="184" t="s">
        <v>451</v>
      </c>
      <c r="C307" s="174" t="s">
        <v>450</v>
      </c>
      <c r="D307" s="166">
        <v>96.9</v>
      </c>
      <c r="E307" s="166">
        <v>422.5</v>
      </c>
      <c r="F307" s="166">
        <v>96.9</v>
      </c>
      <c r="G307" s="166">
        <v>422.5</v>
      </c>
      <c r="W307" s="194" t="s">
        <v>639</v>
      </c>
      <c r="X307" s="131">
        <v>3.0414000000018859</v>
      </c>
      <c r="Y307" s="131">
        <v>11.340200000023469</v>
      </c>
      <c r="Z307" s="131">
        <v>3.0414000000018859</v>
      </c>
      <c r="AA307" s="131">
        <v>11.340200000023469</v>
      </c>
    </row>
    <row r="308" spans="2:27" ht="18" customHeight="1" x14ac:dyDescent="0.25">
      <c r="B308" s="184" t="s">
        <v>451</v>
      </c>
      <c r="C308" s="174" t="s">
        <v>450</v>
      </c>
      <c r="D308" s="166">
        <v>96.2</v>
      </c>
      <c r="E308" s="166">
        <v>419.9</v>
      </c>
      <c r="F308" s="166">
        <v>96.2</v>
      </c>
      <c r="G308" s="166">
        <v>419.9</v>
      </c>
      <c r="W308" s="194" t="s">
        <v>640</v>
      </c>
      <c r="X308" s="131">
        <v>6.8843295850534822</v>
      </c>
      <c r="Y308" s="131">
        <v>31.449762790661367</v>
      </c>
      <c r="Z308" s="131">
        <v>6.8843295850534822</v>
      </c>
      <c r="AA308" s="131">
        <v>31.449762790661367</v>
      </c>
    </row>
    <row r="309" spans="2:27" ht="18" customHeight="1" x14ac:dyDescent="0.25">
      <c r="B309" s="184" t="s">
        <v>451</v>
      </c>
      <c r="C309" s="174" t="s">
        <v>450</v>
      </c>
      <c r="D309" s="166">
        <v>91.6</v>
      </c>
      <c r="E309" s="166">
        <v>405.7</v>
      </c>
      <c r="F309" s="166">
        <v>91.6</v>
      </c>
      <c r="G309" s="166">
        <v>405.7</v>
      </c>
      <c r="W309" s="194" t="s">
        <v>318</v>
      </c>
      <c r="X309" s="131">
        <v>25</v>
      </c>
      <c r="Y309" s="131">
        <v>25</v>
      </c>
      <c r="Z309" s="131">
        <v>25</v>
      </c>
      <c r="AA309" s="131">
        <v>25</v>
      </c>
    </row>
    <row r="310" spans="2:27" ht="18" customHeight="1" x14ac:dyDescent="0.25">
      <c r="B310" s="184" t="s">
        <v>452</v>
      </c>
      <c r="C310" s="174" t="s">
        <v>450</v>
      </c>
      <c r="D310" s="166">
        <v>94</v>
      </c>
      <c r="E310" s="166">
        <v>413.3</v>
      </c>
      <c r="F310" s="166">
        <v>94</v>
      </c>
      <c r="G310" s="166">
        <v>413.3</v>
      </c>
      <c r="W310" s="194" t="s">
        <v>641</v>
      </c>
      <c r="X310" s="131">
        <v>5</v>
      </c>
      <c r="Y310" s="131">
        <v>5</v>
      </c>
      <c r="Z310" s="131">
        <v>5</v>
      </c>
      <c r="AA310" s="131">
        <v>5</v>
      </c>
    </row>
    <row r="311" spans="2:27" ht="18" customHeight="1" x14ac:dyDescent="0.25">
      <c r="B311" s="184" t="s">
        <v>452</v>
      </c>
      <c r="C311" s="174" t="s">
        <v>450</v>
      </c>
      <c r="D311" s="166">
        <v>92</v>
      </c>
      <c r="E311" s="166">
        <v>411.7</v>
      </c>
      <c r="F311" s="166">
        <v>92</v>
      </c>
      <c r="G311" s="166">
        <v>411.7</v>
      </c>
      <c r="W311" s="194" t="s">
        <v>642</v>
      </c>
      <c r="X311" s="131">
        <v>125</v>
      </c>
      <c r="Y311" s="131">
        <v>125</v>
      </c>
      <c r="Z311" s="131">
        <v>125</v>
      </c>
      <c r="AA311" s="131">
        <v>125</v>
      </c>
    </row>
    <row r="312" spans="2:27" ht="18" customHeight="1" x14ac:dyDescent="0.25">
      <c r="B312" s="184" t="s">
        <v>452</v>
      </c>
      <c r="C312" s="174" t="s">
        <v>450</v>
      </c>
      <c r="D312" s="166">
        <v>93.1</v>
      </c>
      <c r="E312" s="166">
        <v>413.8</v>
      </c>
      <c r="F312" s="166">
        <v>93.1</v>
      </c>
      <c r="G312" s="166">
        <v>413.8</v>
      </c>
      <c r="W312" s="194" t="s">
        <v>643</v>
      </c>
      <c r="X312" s="131">
        <v>3.0414000000018859</v>
      </c>
      <c r="Y312" s="131">
        <v>11.340200000023469</v>
      </c>
      <c r="Z312" s="131">
        <v>3.0414000000018859</v>
      </c>
      <c r="AA312" s="131">
        <v>11.340200000023469</v>
      </c>
    </row>
    <row r="313" spans="2:27" ht="18" customHeight="1" x14ac:dyDescent="0.25">
      <c r="B313" s="184" t="s">
        <v>452</v>
      </c>
      <c r="C313" s="174" t="s">
        <v>450</v>
      </c>
      <c r="D313" s="166">
        <v>92.7</v>
      </c>
      <c r="E313" s="166">
        <v>412.3</v>
      </c>
      <c r="F313" s="166">
        <v>92.7</v>
      </c>
      <c r="G313" s="166">
        <v>412.3</v>
      </c>
      <c r="W313" s="194" t="s">
        <v>644</v>
      </c>
      <c r="X313" s="131">
        <v>3.5793199999985519</v>
      </c>
      <c r="Y313" s="131">
        <v>69.061279999874529</v>
      </c>
      <c r="Z313" s="131">
        <v>3.5793199999985519</v>
      </c>
      <c r="AA313" s="131">
        <v>69.061279999874529</v>
      </c>
    </row>
    <row r="314" spans="2:27" ht="18" customHeight="1" x14ac:dyDescent="0.25">
      <c r="B314" s="184" t="s">
        <v>452</v>
      </c>
      <c r="C314" s="174" t="s">
        <v>450</v>
      </c>
      <c r="D314" s="166">
        <v>93.7</v>
      </c>
      <c r="E314" s="166">
        <v>414.6</v>
      </c>
      <c r="F314" s="166">
        <v>93.7</v>
      </c>
      <c r="G314" s="166">
        <v>414.6</v>
      </c>
      <c r="W314" s="194" t="s">
        <v>645</v>
      </c>
      <c r="X314" s="131">
        <v>1.7439610087389814</v>
      </c>
      <c r="Y314" s="131">
        <v>3.3675213436626454</v>
      </c>
      <c r="Z314" s="131">
        <v>1.7439610087389814</v>
      </c>
      <c r="AA314" s="131">
        <v>3.3675213436626454</v>
      </c>
    </row>
    <row r="315" spans="2:27" ht="18" customHeight="1" x14ac:dyDescent="0.25">
      <c r="B315" s="184" t="s">
        <v>453</v>
      </c>
      <c r="C315" s="174" t="s">
        <v>450</v>
      </c>
      <c r="D315" s="166">
        <v>91.4</v>
      </c>
      <c r="E315" s="166">
        <v>401.3</v>
      </c>
      <c r="F315" s="166">
        <v>91.4</v>
      </c>
      <c r="G315" s="166">
        <v>401.3</v>
      </c>
      <c r="W315" s="194" t="s">
        <v>646</v>
      </c>
      <c r="X315" s="131">
        <v>1.86400278830588E-2</v>
      </c>
      <c r="Y315" s="131">
        <v>8.2209256780851041E-3</v>
      </c>
      <c r="Z315" s="131">
        <v>1.86400278830588E-2</v>
      </c>
      <c r="AA315" s="131">
        <v>8.2209256780851041E-3</v>
      </c>
    </row>
    <row r="316" spans="2:27" ht="18" customHeight="1" x14ac:dyDescent="0.25">
      <c r="B316" s="184" t="s">
        <v>453</v>
      </c>
      <c r="C316" s="174" t="s">
        <v>450</v>
      </c>
      <c r="D316" s="166">
        <v>91.6</v>
      </c>
      <c r="E316" s="166">
        <v>398.7</v>
      </c>
      <c r="F316" s="166">
        <v>91.6</v>
      </c>
      <c r="G316" s="166">
        <v>398.7</v>
      </c>
      <c r="W316" s="194" t="s">
        <v>647</v>
      </c>
      <c r="X316" s="131">
        <v>1.8919090887245487</v>
      </c>
      <c r="Y316" s="131">
        <v>8.3103116668314261</v>
      </c>
      <c r="Z316" s="131">
        <v>1.8919090887245487</v>
      </c>
      <c r="AA316" s="131">
        <v>8.3103116668314261</v>
      </c>
    </row>
    <row r="317" spans="2:27" ht="18" customHeight="1" x14ac:dyDescent="0.25">
      <c r="B317" s="184" t="s">
        <v>453</v>
      </c>
      <c r="C317" s="174" t="s">
        <v>450</v>
      </c>
      <c r="D317" s="166">
        <v>92.5</v>
      </c>
      <c r="E317" s="166">
        <v>399</v>
      </c>
      <c r="F317" s="166">
        <v>92.5</v>
      </c>
      <c r="G317" s="166">
        <v>399</v>
      </c>
      <c r="W317" s="194" t="s">
        <v>648</v>
      </c>
      <c r="X317" s="131">
        <v>2.0221345540022966E-2</v>
      </c>
      <c r="Y317" s="131">
        <v>2.0287460004763894E-2</v>
      </c>
      <c r="Z317" s="131">
        <v>2.0221345540022966E-2</v>
      </c>
      <c r="AA317" s="131">
        <v>2.0287460004763894E-2</v>
      </c>
    </row>
    <row r="318" spans="2:27" ht="18" customHeight="1" x14ac:dyDescent="0.25">
      <c r="B318" s="184" t="s">
        <v>453</v>
      </c>
      <c r="C318" s="174" t="s">
        <v>450</v>
      </c>
      <c r="D318" s="166">
        <v>91.2</v>
      </c>
      <c r="E318" s="166">
        <v>398.2</v>
      </c>
      <c r="F318" s="166">
        <v>91.2</v>
      </c>
      <c r="G318" s="166">
        <v>398.2</v>
      </c>
      <c r="W318" s="194" t="s">
        <v>649</v>
      </c>
      <c r="X318" s="131">
        <v>2.5730759802229777</v>
      </c>
      <c r="Y318" s="131">
        <v>8.9666872366497756</v>
      </c>
      <c r="Z318" s="131">
        <v>2.5730759802229777</v>
      </c>
      <c r="AA318" s="131">
        <v>8.9666872366497756</v>
      </c>
    </row>
    <row r="319" spans="2:27" ht="18" customHeight="1" x14ac:dyDescent="0.25">
      <c r="B319" s="184" t="s">
        <v>453</v>
      </c>
      <c r="C319" s="174" t="s">
        <v>450</v>
      </c>
      <c r="D319" s="166">
        <v>93</v>
      </c>
      <c r="E319" s="166">
        <v>402.4</v>
      </c>
      <c r="F319" s="166">
        <v>93</v>
      </c>
      <c r="G319" s="166">
        <v>402.4</v>
      </c>
      <c r="W319" s="194" t="s">
        <v>650</v>
      </c>
      <c r="X319" s="131">
        <v>2.750188093440549E-2</v>
      </c>
      <c r="Y319" s="131">
        <v>2.1889829886262108E-2</v>
      </c>
      <c r="Z319" s="131">
        <v>2.750188093440549E-2</v>
      </c>
      <c r="AA319" s="131">
        <v>2.1889829886262108E-2</v>
      </c>
    </row>
    <row r="320" spans="2:27" ht="18" customHeight="1" x14ac:dyDescent="0.25">
      <c r="B320" s="184" t="s">
        <v>454</v>
      </c>
      <c r="C320" s="174" t="s">
        <v>450</v>
      </c>
      <c r="D320" s="166">
        <v>92.9</v>
      </c>
      <c r="E320" s="166">
        <v>401.4</v>
      </c>
      <c r="F320" s="166">
        <v>92.9</v>
      </c>
      <c r="G320" s="166">
        <v>401.4</v>
      </c>
      <c r="W320" s="194" t="s">
        <v>651</v>
      </c>
      <c r="X320" s="131">
        <v>9.3662208918254066</v>
      </c>
      <c r="Y320" s="131">
        <v>5.0658124026296409</v>
      </c>
      <c r="Z320" s="131">
        <v>9.3662208918254066</v>
      </c>
      <c r="AA320" s="131">
        <v>5.0658124026296409</v>
      </c>
    </row>
    <row r="321" spans="2:27" ht="18" customHeight="1" x14ac:dyDescent="0.25">
      <c r="B321" s="184" t="s">
        <v>454</v>
      </c>
      <c r="C321" s="174" t="s">
        <v>450</v>
      </c>
      <c r="D321" s="166">
        <v>92.1</v>
      </c>
      <c r="E321" s="166">
        <v>402</v>
      </c>
      <c r="F321" s="166">
        <v>92.1</v>
      </c>
      <c r="G321" s="166">
        <v>402</v>
      </c>
      <c r="W321" s="194" t="s">
        <v>652</v>
      </c>
      <c r="X321" s="131">
        <v>36.760509890706579</v>
      </c>
      <c r="Y321" s="131">
        <v>36.760509890706579</v>
      </c>
      <c r="Z321" s="131">
        <v>36.760509890706579</v>
      </c>
      <c r="AA321" s="131">
        <v>36.760509890706579</v>
      </c>
    </row>
    <row r="322" spans="2:27" ht="18" customHeight="1" x14ac:dyDescent="0.25">
      <c r="B322" s="184" t="s">
        <v>454</v>
      </c>
      <c r="C322" s="174" t="s">
        <v>450</v>
      </c>
      <c r="D322" s="166">
        <v>94.7</v>
      </c>
      <c r="E322" s="166">
        <v>404.2</v>
      </c>
      <c r="F322" s="166">
        <v>94.7</v>
      </c>
      <c r="G322" s="166">
        <v>404.2</v>
      </c>
      <c r="W322" s="194" t="s">
        <v>653</v>
      </c>
      <c r="X322" s="131">
        <v>21.59562086729354</v>
      </c>
      <c r="Y322" s="131">
        <v>14.657988301657458</v>
      </c>
      <c r="Z322" s="131">
        <v>21.59562086729354</v>
      </c>
      <c r="AA322" s="131">
        <v>14.657988301657458</v>
      </c>
    </row>
    <row r="323" spans="2:27" ht="18" customHeight="1" x14ac:dyDescent="0.25">
      <c r="B323" s="184" t="s">
        <v>454</v>
      </c>
      <c r="C323" s="174" t="s">
        <v>450</v>
      </c>
      <c r="D323" s="166">
        <v>89.2</v>
      </c>
      <c r="E323" s="166">
        <v>399.7</v>
      </c>
      <c r="F323" s="166">
        <v>89.2</v>
      </c>
      <c r="G323" s="166">
        <v>399.7</v>
      </c>
      <c r="W323" s="194" t="s">
        <v>654</v>
      </c>
      <c r="X323" s="131">
        <v>1.3557379888958372</v>
      </c>
      <c r="Y323" s="131">
        <v>1.3557379888958372</v>
      </c>
      <c r="Z323" s="131">
        <v>1.3557379888958372</v>
      </c>
      <c r="AA323" s="131">
        <v>1.3557379888958372</v>
      </c>
    </row>
    <row r="324" spans="2:27" ht="18" customHeight="1" x14ac:dyDescent="0.25">
      <c r="B324" s="184" t="s">
        <v>454</v>
      </c>
      <c r="C324" s="174" t="s">
        <v>450</v>
      </c>
      <c r="D324" s="166">
        <v>88</v>
      </c>
      <c r="E324" s="166">
        <v>398.6</v>
      </c>
      <c r="F324" s="166">
        <v>88</v>
      </c>
      <c r="G324" s="166">
        <v>398.6</v>
      </c>
      <c r="W324" s="194" t="s">
        <v>655</v>
      </c>
      <c r="X324" s="131">
        <v>1.5184505361118663</v>
      </c>
      <c r="Y324" s="131">
        <v>1.70103258838097</v>
      </c>
      <c r="Z324" s="131">
        <v>1.5184505361118663</v>
      </c>
      <c r="AA324" s="131">
        <v>1.70103258838097</v>
      </c>
    </row>
    <row r="325" spans="2:27" ht="18" customHeight="1" x14ac:dyDescent="0.25">
      <c r="G325" s="74"/>
      <c r="W325" s="46"/>
    </row>
    <row r="326" spans="2:27" ht="18" customHeight="1" x14ac:dyDescent="0.25">
      <c r="W326" s="46"/>
    </row>
    <row r="327" spans="2:27" ht="18" customHeight="1" x14ac:dyDescent="0.25">
      <c r="C327" s="65" t="s">
        <v>455</v>
      </c>
      <c r="D327" s="121">
        <f>IF(ISNUMBER(X314),SQRT(X314),"")</f>
        <v>1.3205911588144839</v>
      </c>
      <c r="E327" s="121">
        <f t="shared" ref="E327:G327" si="32">IF(ISNUMBER(Y314),SQRT(Y314),"")</f>
        <v>1.8350807458154657</v>
      </c>
      <c r="F327" s="121">
        <f t="shared" si="32"/>
        <v>1.3205911588144839</v>
      </c>
      <c r="G327" s="121">
        <f t="shared" si="32"/>
        <v>1.8350807458154657</v>
      </c>
      <c r="W327" s="46"/>
    </row>
    <row r="328" spans="2:27" ht="18" customHeight="1" x14ac:dyDescent="0.25">
      <c r="C328" s="65" t="s">
        <v>456</v>
      </c>
      <c r="D328" s="121">
        <f>IF(ISNUMBER(X316),X316,"")</f>
        <v>1.8919090887245487</v>
      </c>
      <c r="E328" s="121">
        <f t="shared" ref="E328:G328" si="33">IF(ISNUMBER(Y316),Y316,"")</f>
        <v>8.3103116668314261</v>
      </c>
      <c r="F328" s="121">
        <f t="shared" si="33"/>
        <v>1.8919090887245487</v>
      </c>
      <c r="G328" s="121">
        <f t="shared" si="33"/>
        <v>8.3103116668314261</v>
      </c>
      <c r="W328" s="46"/>
    </row>
    <row r="329" spans="2:27" ht="18" customHeight="1" x14ac:dyDescent="0.25">
      <c r="C329" s="65" t="s">
        <v>457</v>
      </c>
      <c r="D329" s="80">
        <f>IF(ISNUMBER(X318),X318,"")</f>
        <v>2.5730759802229777</v>
      </c>
      <c r="E329" s="80">
        <f t="shared" ref="E329:G329" si="34">IF(ISNUMBER(Y318),Y318,"")</f>
        <v>8.9666872366497756</v>
      </c>
      <c r="F329" s="80">
        <f t="shared" si="34"/>
        <v>2.5730759802229777</v>
      </c>
      <c r="G329" s="80">
        <f t="shared" si="34"/>
        <v>8.9666872366497756</v>
      </c>
      <c r="I329" s="24"/>
      <c r="W329" s="46"/>
    </row>
    <row r="330" spans="2:27" ht="18" customHeight="1" x14ac:dyDescent="0.25">
      <c r="C330" s="65"/>
      <c r="W330" s="46"/>
    </row>
    <row r="331" spans="2:27" ht="18" customHeight="1" x14ac:dyDescent="0.25">
      <c r="C331" s="65" t="s">
        <v>458</v>
      </c>
      <c r="D331" s="122">
        <f>IF(ISNUMBER(X315),X315,"")</f>
        <v>1.86400278830588E-2</v>
      </c>
      <c r="E331" s="122">
        <f t="shared" ref="E331:G331" si="35">IF(ISNUMBER(Y315),Y315,"")</f>
        <v>8.2209256780851041E-3</v>
      </c>
      <c r="F331" s="122">
        <f t="shared" si="35"/>
        <v>1.86400278830588E-2</v>
      </c>
      <c r="G331" s="122">
        <f t="shared" si="35"/>
        <v>8.2209256780851041E-3</v>
      </c>
      <c r="W331" s="46"/>
    </row>
    <row r="332" spans="2:27" ht="18" customHeight="1" x14ac:dyDescent="0.25">
      <c r="C332" s="65" t="s">
        <v>459</v>
      </c>
      <c r="D332" s="122">
        <f>IF(ISNUMBER(X317),X317,"")</f>
        <v>2.0221345540022966E-2</v>
      </c>
      <c r="E332" s="122">
        <f>IF(ISERROR(E328/Y318),"",E328/Y318)</f>
        <v>0.92679843151710162</v>
      </c>
      <c r="F332" s="122">
        <f>IF(ISERROR(F328/Z318),"",F328/Z318)</f>
        <v>0.73527136519326552</v>
      </c>
      <c r="G332" s="122">
        <f>IF(ISERROR(G328/AA318),"",G328/AA318)</f>
        <v>0.92679843151710162</v>
      </c>
      <c r="W332" s="46"/>
    </row>
    <row r="333" spans="2:27" ht="18" customHeight="1" x14ac:dyDescent="0.25">
      <c r="C333" s="65" t="s">
        <v>460</v>
      </c>
      <c r="D333" s="122">
        <f>IF(ISNUMBER(X319),X319,"")</f>
        <v>2.750188093440549E-2</v>
      </c>
      <c r="E333" s="122">
        <f t="shared" ref="E333:G333" si="36">IF(ISNUMBER(Y319),Y319,"")</f>
        <v>2.1889829886262108E-2</v>
      </c>
      <c r="F333" s="122">
        <f t="shared" si="36"/>
        <v>2.750188093440549E-2</v>
      </c>
      <c r="G333" s="122">
        <f t="shared" si="36"/>
        <v>2.1889829886262108E-2</v>
      </c>
      <c r="W333" s="46"/>
    </row>
    <row r="334" spans="2:27" ht="18" customHeight="1" x14ac:dyDescent="0.25">
      <c r="W334" s="46"/>
    </row>
    <row r="335" spans="2:27" ht="18" customHeight="1" x14ac:dyDescent="0.25">
      <c r="W335" s="46"/>
    </row>
    <row r="336" spans="2:27" ht="18" customHeight="1" x14ac:dyDescent="0.25">
      <c r="C336" s="16"/>
      <c r="D336" s="16" t="s">
        <v>462</v>
      </c>
      <c r="W336" s="46"/>
    </row>
    <row r="337" spans="1:27" ht="18" customHeight="1" x14ac:dyDescent="0.25">
      <c r="C337" s="65" t="s">
        <v>463</v>
      </c>
      <c r="D337" s="122">
        <f>IF(ISNUMBER(D327),X323*D295,"")</f>
        <v>1.3557379888958372E-2</v>
      </c>
      <c r="E337" s="122">
        <f t="shared" ref="E337:G337" si="37">IF(ISNUMBER(E327),Y323*E295,"")</f>
        <v>1.3557379888958372E-2</v>
      </c>
      <c r="F337" s="122">
        <f t="shared" si="37"/>
        <v>1.3557379888958372E-2</v>
      </c>
      <c r="G337" s="122">
        <f t="shared" si="37"/>
        <v>1.3557379888958372E-2</v>
      </c>
      <c r="W337" s="46"/>
    </row>
    <row r="338" spans="1:27" ht="18" customHeight="1" x14ac:dyDescent="0.25">
      <c r="C338" s="65" t="s">
        <v>464</v>
      </c>
      <c r="D338" s="122">
        <f>IF(ISNUMBER(D328),X324*D296,"")</f>
        <v>3.947971393890852E-2</v>
      </c>
      <c r="E338" s="122">
        <f t="shared" ref="E338:G338" si="38">IF(ISNUMBER(E328),Y324*E296,"")</f>
        <v>4.4226847297905221E-2</v>
      </c>
      <c r="F338" s="122">
        <f t="shared" si="38"/>
        <v>3.947971393890852E-2</v>
      </c>
      <c r="G338" s="122">
        <f t="shared" si="38"/>
        <v>4.4226847297905221E-2</v>
      </c>
      <c r="W338" s="46"/>
    </row>
    <row r="339" spans="1:27" ht="18" customHeight="1" x14ac:dyDescent="0.25">
      <c r="W339" s="46"/>
    </row>
    <row r="340" spans="1:27" ht="18" customHeight="1" x14ac:dyDescent="0.25">
      <c r="D340" s="36" t="s">
        <v>465</v>
      </c>
      <c r="E340" s="36"/>
      <c r="F340" s="36"/>
      <c r="G340" s="36"/>
      <c r="W340" s="46"/>
    </row>
    <row r="341" spans="1:27" ht="18" customHeight="1" x14ac:dyDescent="0.25">
      <c r="C341" s="20"/>
      <c r="D341" s="66" t="s">
        <v>445</v>
      </c>
      <c r="E341" s="66" t="s">
        <v>446</v>
      </c>
      <c r="F341" s="66" t="s">
        <v>447</v>
      </c>
      <c r="G341" s="66" t="s">
        <v>448</v>
      </c>
      <c r="W341" s="46"/>
    </row>
    <row r="342" spans="1:27" ht="18" customHeight="1" x14ac:dyDescent="0.25">
      <c r="C342" s="20" t="s">
        <v>455</v>
      </c>
      <c r="D342" s="123" t="str">
        <f>IF(D327="","",IF(D331&gt;D337, "Fail","Pass"))</f>
        <v>Fail</v>
      </c>
      <c r="E342" s="123" t="str">
        <f t="shared" ref="E342:G342" si="39">IF(E327="","",IF(E331&gt;E337, "Fail","Pass"))</f>
        <v>Pass</v>
      </c>
      <c r="F342" s="123" t="str">
        <f t="shared" si="39"/>
        <v>Fail</v>
      </c>
      <c r="G342" s="123" t="str">
        <f t="shared" si="39"/>
        <v>Pass</v>
      </c>
      <c r="W342" s="46"/>
      <c r="X342" s="124"/>
      <c r="Y342" s="124"/>
      <c r="Z342" s="124"/>
      <c r="AA342" s="124"/>
    </row>
    <row r="343" spans="1:27" ht="18" customHeight="1" x14ac:dyDescent="0.25">
      <c r="C343" s="20" t="s">
        <v>466</v>
      </c>
      <c r="D343" s="123" t="str">
        <f>IF(D328="","",IF(D333&gt;D338, "Fail","Pass"))</f>
        <v>Pass</v>
      </c>
      <c r="E343" s="123" t="str">
        <f t="shared" ref="E343:G343" si="40">IF(E328="","",IF(E333&gt;E338, "Fail","Pass"))</f>
        <v>Pass</v>
      </c>
      <c r="F343" s="123" t="str">
        <f t="shared" si="40"/>
        <v>Pass</v>
      </c>
      <c r="G343" s="123" t="str">
        <f t="shared" si="40"/>
        <v>Pass</v>
      </c>
      <c r="W343" s="46"/>
      <c r="X343" s="74"/>
      <c r="Y343" s="74"/>
      <c r="Z343" s="74"/>
      <c r="AA343" s="74"/>
    </row>
    <row r="344" spans="1:27" ht="18" customHeight="1" x14ac:dyDescent="0.25">
      <c r="W344" s="46"/>
      <c r="X344" s="74"/>
      <c r="Y344" s="74"/>
      <c r="Z344" s="74"/>
      <c r="AA344" s="74"/>
    </row>
    <row r="345" spans="1:27" ht="18" customHeight="1" x14ac:dyDescent="0.25">
      <c r="A345" s="110"/>
      <c r="W345" s="46"/>
      <c r="X345" s="74"/>
      <c r="Y345" s="74"/>
      <c r="Z345" s="74"/>
      <c r="AA345" s="74"/>
    </row>
    <row r="346" spans="1:27" ht="18" customHeight="1" x14ac:dyDescent="0.25">
      <c r="D346" s="110" t="s">
        <v>467</v>
      </c>
      <c r="E346" s="28"/>
      <c r="F346" s="28"/>
      <c r="G346" s="28"/>
      <c r="W346" s="46"/>
      <c r="X346" s="74"/>
      <c r="Y346" s="74"/>
      <c r="Z346" s="74"/>
      <c r="AA346" s="74"/>
    </row>
    <row r="347" spans="1:27" ht="18" customHeight="1" x14ac:dyDescent="0.25">
      <c r="D347" s="66" t="s">
        <v>445</v>
      </c>
      <c r="E347" s="66" t="s">
        <v>446</v>
      </c>
      <c r="F347" s="66" t="s">
        <v>447</v>
      </c>
      <c r="G347" s="66" t="s">
        <v>448</v>
      </c>
      <c r="V347" s="46"/>
      <c r="W347" s="20"/>
    </row>
    <row r="348" spans="1:27" ht="18" customHeight="1" x14ac:dyDescent="0.25">
      <c r="C348" s="20" t="s">
        <v>375</v>
      </c>
      <c r="D348" s="104">
        <f>IF(ISNUMBER(X318),X318,"")</f>
        <v>2.5730759802229777</v>
      </c>
      <c r="E348" s="104">
        <f>IF(ISNUMBER(Y318),Y318,"")</f>
        <v>8.9666872366497756</v>
      </c>
      <c r="F348" s="104">
        <f>IF(ISNUMBER(Z318),Z318,"")</f>
        <v>2.5730759802229777</v>
      </c>
      <c r="G348" s="104">
        <f>IF(ISNUMBER(AA318),AA318,"")</f>
        <v>8.9666872366497756</v>
      </c>
      <c r="V348" s="46"/>
      <c r="W348" s="46"/>
    </row>
    <row r="349" spans="1:27" ht="18" customHeight="1" x14ac:dyDescent="0.25">
      <c r="C349" s="20" t="s">
        <v>468</v>
      </c>
      <c r="D349" s="125">
        <f>IF(ISNUMBER(D348),IF(D348&lt;$J8,$J4/D348,$J6),"")</f>
        <v>3.8863990324659672</v>
      </c>
      <c r="E349" s="125">
        <f>IF(ISNUMBER(E348),IF(E348&lt;$J8,$J4/E348,$J6),"")</f>
        <v>1.1152390772733478</v>
      </c>
      <c r="F349" s="125">
        <f>IF(ISNUMBER(F348),IF(F348&lt;$J8,$J4/F348,$J6),"")</f>
        <v>3.8863990324659672</v>
      </c>
      <c r="G349" s="125">
        <f>IF(ISNUMBER(G348),IF(G348&lt;$J8,$J4/G348,$J6),"")</f>
        <v>1.1152390772733478</v>
      </c>
      <c r="V349" s="46"/>
      <c r="W349" s="20"/>
    </row>
    <row r="350" spans="1:27" ht="18" customHeight="1" x14ac:dyDescent="0.25">
      <c r="C350" s="20" t="s">
        <v>469</v>
      </c>
      <c r="D350" s="126">
        <f>IF(ISNUMBER(D333),D349/D333,"")</f>
        <v>141.3139356444523</v>
      </c>
      <c r="E350" s="126">
        <f>IF(ISNUMBER(E333),E349/E333,"")</f>
        <v>50.947818373557276</v>
      </c>
      <c r="F350" s="126">
        <f>IF(ISNUMBER(F333),F349/F333,"")</f>
        <v>141.3139356444523</v>
      </c>
      <c r="G350" s="126">
        <f>IF(ISNUMBER(G333),G349/G333,"")</f>
        <v>50.947818373557276</v>
      </c>
      <c r="V350" s="46"/>
      <c r="W350" s="46"/>
    </row>
    <row r="351" spans="1:27" ht="18" customHeight="1" x14ac:dyDescent="0.25">
      <c r="C351" s="20" t="s">
        <v>470</v>
      </c>
      <c r="D351" s="127" t="str">
        <f>IF(ISNUMBER(D350),IF(D350&lt;4,"Poor",IF(AND(D350&gt;=4,D350&lt;6),"Acceptable",IF(D350&gt;6,"Good",""))),"")</f>
        <v>Good</v>
      </c>
      <c r="E351" s="127" t="str">
        <f>IF(ISNUMBER(E350),IF(E350&lt;4,"Poor",IF(AND(E350&gt;=4,E350&lt;6),"Acceptable",IF(E350&gt;6,"Good",""))),"")</f>
        <v>Good</v>
      </c>
      <c r="F351" s="127" t="str">
        <f>IF(ISNUMBER(F350),IF(F350&lt;4,"Poor",IF(AND(F350&gt;=4,F350&lt;6),"Acceptable",IF(F350&gt;6,"Good",""))),"")</f>
        <v>Good</v>
      </c>
      <c r="G351" s="127" t="str">
        <f>IF(ISNUMBER(G350),IF(G350&lt;4,"Poor",IF(AND(G350&gt;=4,G350&lt;6),"Acceptable",IF(G350&gt;6,"Good",""))),"")</f>
        <v>Good</v>
      </c>
      <c r="V351" s="46"/>
      <c r="W351" s="46"/>
    </row>
    <row r="352" spans="1:27" ht="18" customHeight="1" x14ac:dyDescent="0.25">
      <c r="A352" s="16"/>
      <c r="V352" s="46"/>
      <c r="W352" s="46"/>
    </row>
    <row r="353" spans="1:27" ht="18" customHeight="1" x14ac:dyDescent="0.25">
      <c r="V353" s="46"/>
      <c r="W353" s="46"/>
    </row>
    <row r="354" spans="1:27" ht="18" customHeight="1" x14ac:dyDescent="0.25">
      <c r="D354" s="16" t="s">
        <v>471</v>
      </c>
      <c r="V354" s="46"/>
      <c r="W354" s="46"/>
    </row>
    <row r="355" spans="1:27" ht="18" customHeight="1" x14ac:dyDescent="0.25">
      <c r="C355" s="65" t="s">
        <v>472</v>
      </c>
      <c r="D355" s="128">
        <f>IF(OR(ISNA(VLOOKUP(B$4,APS_Table[],4,FALSE())),VLOOKUP(B$4,APS_Table[],4,FALSE())=0),"",VLOOKUP(B$4,APS_Table[],4,FALSE()))</f>
        <v>0.04</v>
      </c>
      <c r="G355" s="17" t="s">
        <v>473</v>
      </c>
      <c r="W355" s="46"/>
      <c r="X355" s="129"/>
      <c r="Y355" s="129"/>
      <c r="Z355" s="129"/>
      <c r="AA355" s="129"/>
    </row>
    <row r="356" spans="1:27" ht="18" customHeight="1" x14ac:dyDescent="0.25">
      <c r="C356" s="65" t="s">
        <v>474</v>
      </c>
      <c r="D356" s="128">
        <f>IF(OR(ISNA(VLOOKUP(B$4,APS_Table[],5,FALSE())),VLOOKUP(B$4,APS_Table[],5,FALSE())=0),"",VLOOKUP(B$4,APS_Table[],5,FALSE()))</f>
        <v>7.9000000000000001E-2</v>
      </c>
      <c r="F356" s="65" t="s">
        <v>475</v>
      </c>
      <c r="G356" s="130">
        <f>IF(AND(ISNUMBER(D355),ISNUMBER(D356)),IF(D357="Optimal",0.25*D355,IF(D357="Desirable",0.5*D355,0.75*D355)),"")</f>
        <v>0.02</v>
      </c>
    </row>
    <row r="357" spans="1:27" ht="18" customHeight="1" x14ac:dyDescent="0.25">
      <c r="C357" s="65" t="s">
        <v>476</v>
      </c>
      <c r="D357" s="131" t="s">
        <v>319</v>
      </c>
      <c r="F357" s="65" t="s">
        <v>401</v>
      </c>
      <c r="G357" s="130">
        <f>IF(AND(ISNUMBER(D355),ISNUMBER(D356)),IF(D357="Optimal",0.125*SQRT(D355^2+D356^2),IF(D357="Desirable",0.25*SQRT(D355^2+D356^2),0.375*SQRT(D355^2+D356^2))),"")</f>
        <v>2.2137355307262883E-2</v>
      </c>
    </row>
    <row r="358" spans="1:27" ht="18" customHeight="1" x14ac:dyDescent="0.25">
      <c r="C358" s="65" t="s">
        <v>382</v>
      </c>
      <c r="D358" s="131">
        <v>0.05</v>
      </c>
      <c r="F358" s="65" t="s">
        <v>477</v>
      </c>
      <c r="G358" s="130">
        <f>IF(AND(ISNUMBER(D355),ISNUMBER(D356)),G357+_xlfn.NORM.INV(1-D358,0,1)*G356,"")</f>
        <v>5.5034427846292311E-2</v>
      </c>
    </row>
    <row r="360" spans="1:27" ht="18" customHeight="1" x14ac:dyDescent="0.25">
      <c r="C360" s="20"/>
      <c r="D360" s="110" t="s">
        <v>462</v>
      </c>
      <c r="E360" s="28"/>
      <c r="F360" s="28"/>
      <c r="G360" s="28"/>
    </row>
    <row r="361" spans="1:27" ht="18" customHeight="1" x14ac:dyDescent="0.25">
      <c r="A361" s="16"/>
      <c r="C361" s="20"/>
      <c r="D361" s="66" t="s">
        <v>445</v>
      </c>
      <c r="E361" s="66" t="s">
        <v>446</v>
      </c>
      <c r="F361" s="66" t="s">
        <v>447</v>
      </c>
      <c r="G361" s="66" t="s">
        <v>448</v>
      </c>
    </row>
    <row r="362" spans="1:27" ht="18" customHeight="1" x14ac:dyDescent="0.25">
      <c r="C362" s="20" t="s">
        <v>455</v>
      </c>
      <c r="D362" s="132">
        <f>IF(AND(ISNUMBER($G356),ISNUMBER(X323)),$G356*X323,"")</f>
        <v>2.7114759777916744E-2</v>
      </c>
      <c r="E362" s="132">
        <f t="shared" ref="E362:G362" si="41">IF(AND(ISNUMBER($G356),ISNUMBER(Y323)),$G356*Y323,"")</f>
        <v>2.7114759777916744E-2</v>
      </c>
      <c r="F362" s="132">
        <f t="shared" si="41"/>
        <v>2.7114759777916744E-2</v>
      </c>
      <c r="G362" s="132">
        <f t="shared" si="41"/>
        <v>2.7114759777916744E-2</v>
      </c>
    </row>
    <row r="363" spans="1:27" ht="18" customHeight="1" x14ac:dyDescent="0.25">
      <c r="C363" s="20" t="s">
        <v>466</v>
      </c>
      <c r="D363" s="132">
        <f>IF(AND(ISNUMBER($G356),ISNUMBER(X324)),$G356*X324,"")</f>
        <v>3.0369010722237327E-2</v>
      </c>
      <c r="E363" s="132">
        <f t="shared" ref="E363:G363" si="42">IF(AND(ISNUMBER($G356),ISNUMBER(Y324)),$G356*Y324,"")</f>
        <v>3.4020651767619405E-2</v>
      </c>
      <c r="F363" s="132">
        <f t="shared" si="42"/>
        <v>3.0369010722237327E-2</v>
      </c>
      <c r="G363" s="132">
        <f t="shared" si="42"/>
        <v>3.4020651767619405E-2</v>
      </c>
    </row>
    <row r="364" spans="1:27" ht="18" customHeight="1" x14ac:dyDescent="0.25">
      <c r="C364" s="20"/>
      <c r="D364" s="133"/>
      <c r="E364" s="133"/>
      <c r="F364" s="133"/>
      <c r="G364" s="133"/>
    </row>
    <row r="365" spans="1:27" ht="18" customHeight="1" x14ac:dyDescent="0.25">
      <c r="C365" s="20"/>
      <c r="D365" s="110" t="s">
        <v>478</v>
      </c>
      <c r="E365" s="28"/>
      <c r="F365" s="28"/>
      <c r="G365" s="28"/>
    </row>
    <row r="366" spans="1:27" ht="18" customHeight="1" x14ac:dyDescent="0.25">
      <c r="C366" s="20" t="s">
        <v>455</v>
      </c>
      <c r="D366" s="123" t="str">
        <f>IF(NOT(ISNUMBER(D362)),"",IF(D331&gt;D362,"Fail","Pass"))</f>
        <v>Pass</v>
      </c>
      <c r="E366" s="123" t="str">
        <f>IF(NOT(ISNUMBER(E362)),"",IF(E331&gt;E362,"Fail","Pass"))</f>
        <v>Pass</v>
      </c>
      <c r="F366" s="123" t="str">
        <f>IF(NOT(ISNUMBER(F362)),"",IF(F331&gt;F362,"Fail","Pass"))</f>
        <v>Pass</v>
      </c>
      <c r="G366" s="123" t="str">
        <f>IF(NOT(ISNUMBER(G362)),"",IF(G331&gt;G362,"Fail","Pass"))</f>
        <v>Pass</v>
      </c>
    </row>
    <row r="367" spans="1:27" ht="18" customHeight="1" x14ac:dyDescent="0.25">
      <c r="C367" s="20" t="s">
        <v>466</v>
      </c>
      <c r="D367" s="123" t="str">
        <f>IF(NOT(ISNUMBER(D363)),"",IF(D333&gt;D363,"Fail","Pass"))</f>
        <v>Pass</v>
      </c>
      <c r="E367" s="123" t="str">
        <f>IF(NOT(ISNUMBER(E363)),"",IF(E333&gt;E363,"Fail","Pass"))</f>
        <v>Pass</v>
      </c>
      <c r="F367" s="123" t="str">
        <f>IF(NOT(ISNUMBER(F363)),"",IF(F333&gt;F363,"Fail","Pass"))</f>
        <v>Pass</v>
      </c>
      <c r="G367" s="123" t="str">
        <f>IF(NOT(ISNUMBER(G363)),"",IF(G333&gt;G363,"Fail","Pass"))</f>
        <v>Pass</v>
      </c>
    </row>
    <row r="370" spans="1:13" s="10" customFormat="1" ht="18" customHeight="1" x14ac:dyDescent="0.25">
      <c r="A370" s="8"/>
      <c r="B370" s="8" t="s">
        <v>479</v>
      </c>
    </row>
    <row r="371" spans="1:13" s="49" customFormat="1" ht="18" customHeight="1" x14ac:dyDescent="0.25">
      <c r="A371" s="48"/>
      <c r="B371" s="48"/>
    </row>
    <row r="372" spans="1:13" ht="18" customHeight="1" x14ac:dyDescent="0.25">
      <c r="A372" s="16"/>
      <c r="B372" s="15" t="s">
        <v>480</v>
      </c>
    </row>
    <row r="373" spans="1:13" ht="18" customHeight="1" x14ac:dyDescent="0.25">
      <c r="A373" s="134"/>
      <c r="B373" s="213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5"/>
    </row>
    <row r="374" spans="1:13" ht="18" customHeight="1" x14ac:dyDescent="0.25">
      <c r="A374" s="16"/>
      <c r="B374" s="216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8"/>
    </row>
    <row r="375" spans="1:13" ht="18" customHeight="1" x14ac:dyDescent="0.25">
      <c r="A375" s="16"/>
      <c r="B375" s="216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8"/>
    </row>
    <row r="376" spans="1:13" ht="18" customHeight="1" x14ac:dyDescent="0.25">
      <c r="A376" s="16"/>
      <c r="B376" s="219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1"/>
    </row>
    <row r="377" spans="1:13" ht="18" customHeight="1" x14ac:dyDescent="0.25">
      <c r="A377" s="16"/>
    </row>
    <row r="378" spans="1:13" ht="18" customHeight="1" x14ac:dyDescent="0.25">
      <c r="A378" s="16"/>
    </row>
    <row r="379" spans="1:13" ht="18" customHeight="1" x14ac:dyDescent="0.25">
      <c r="B379" s="16" t="s">
        <v>481</v>
      </c>
    </row>
    <row r="380" spans="1:13" ht="18" customHeight="1" x14ac:dyDescent="0.25">
      <c r="B380" s="25" t="s">
        <v>482</v>
      </c>
      <c r="C380" s="25" t="s">
        <v>483</v>
      </c>
      <c r="G380" s="25" t="s">
        <v>482</v>
      </c>
      <c r="H380" s="25" t="s">
        <v>483</v>
      </c>
    </row>
    <row r="381" spans="1:13" ht="18" customHeight="1" x14ac:dyDescent="0.25">
      <c r="A381" s="65"/>
      <c r="B381" s="168">
        <v>30</v>
      </c>
      <c r="C381" s="168">
        <v>110</v>
      </c>
      <c r="G381" s="168">
        <v>30</v>
      </c>
      <c r="H381" s="168">
        <v>110</v>
      </c>
    </row>
    <row r="383" spans="1:13" ht="18" customHeight="1" x14ac:dyDescent="0.25">
      <c r="B383" s="15" t="s">
        <v>357</v>
      </c>
      <c r="C383" s="15" t="s">
        <v>358</v>
      </c>
      <c r="D383" s="15" t="s">
        <v>484</v>
      </c>
      <c r="G383" s="15" t="s">
        <v>357</v>
      </c>
      <c r="H383" s="15" t="s">
        <v>358</v>
      </c>
      <c r="I383" s="15" t="s">
        <v>484</v>
      </c>
    </row>
    <row r="384" spans="1:13" ht="18" customHeight="1" x14ac:dyDescent="0.25">
      <c r="A384" s="15">
        <v>1</v>
      </c>
      <c r="B384" s="175" t="s">
        <v>485</v>
      </c>
      <c r="C384" s="175" t="s">
        <v>486</v>
      </c>
      <c r="D384" s="175">
        <v>61</v>
      </c>
      <c r="E384" s="73">
        <f t="shared" ref="E384:E423" si="43">IF(AND(ISNUMBER(B$381),ISNUMBER(C$381),ISNUMBER(D384)),IF(AND(D384&gt;=B$381,D384&lt;=C$381),0,1),"")</f>
        <v>0</v>
      </c>
      <c r="G384" s="175" t="s">
        <v>485</v>
      </c>
      <c r="H384" s="175" t="s">
        <v>486</v>
      </c>
      <c r="I384" s="175">
        <v>61</v>
      </c>
      <c r="J384" s="73">
        <f t="shared" ref="J384:J423" si="44">IF(AND(ISNUMBER(G$381),ISNUMBER(H$381),ISNUMBER(I384)),IF(AND(I384&gt;=G$381,I384&lt;=H$381),0,1),"")</f>
        <v>0</v>
      </c>
    </row>
    <row r="385" spans="1:10" ht="18" customHeight="1" x14ac:dyDescent="0.25">
      <c r="A385" s="15">
        <v>2</v>
      </c>
      <c r="B385" s="175" t="s">
        <v>487</v>
      </c>
      <c r="C385" s="175" t="s">
        <v>488</v>
      </c>
      <c r="D385" s="175">
        <v>97</v>
      </c>
      <c r="E385" s="73">
        <f t="shared" si="43"/>
        <v>0</v>
      </c>
      <c r="G385" s="175" t="s">
        <v>487</v>
      </c>
      <c r="H385" s="175" t="s">
        <v>488</v>
      </c>
      <c r="I385" s="175">
        <v>97</v>
      </c>
      <c r="J385" s="73">
        <f t="shared" si="44"/>
        <v>0</v>
      </c>
    </row>
    <row r="386" spans="1:10" ht="18" customHeight="1" x14ac:dyDescent="0.25">
      <c r="A386" s="15">
        <v>3</v>
      </c>
      <c r="B386" s="175" t="s">
        <v>489</v>
      </c>
      <c r="C386" s="175" t="s">
        <v>490</v>
      </c>
      <c r="D386" s="175">
        <v>93</v>
      </c>
      <c r="E386" s="73">
        <f t="shared" si="43"/>
        <v>0</v>
      </c>
      <c r="G386" s="175" t="s">
        <v>489</v>
      </c>
      <c r="H386" s="175" t="s">
        <v>490</v>
      </c>
      <c r="I386" s="175">
        <v>93</v>
      </c>
      <c r="J386" s="73">
        <f t="shared" si="44"/>
        <v>0</v>
      </c>
    </row>
    <row r="387" spans="1:10" ht="18" customHeight="1" x14ac:dyDescent="0.25">
      <c r="A387" s="15">
        <v>4</v>
      </c>
      <c r="B387" s="175" t="s">
        <v>491</v>
      </c>
      <c r="C387" s="175" t="s">
        <v>492</v>
      </c>
      <c r="D387" s="175">
        <v>48</v>
      </c>
      <c r="E387" s="73">
        <f t="shared" si="43"/>
        <v>0</v>
      </c>
      <c r="G387" s="175" t="s">
        <v>491</v>
      </c>
      <c r="H387" s="175" t="s">
        <v>492</v>
      </c>
      <c r="I387" s="175">
        <v>48</v>
      </c>
      <c r="J387" s="73">
        <f t="shared" si="44"/>
        <v>0</v>
      </c>
    </row>
    <row r="388" spans="1:10" ht="18" customHeight="1" x14ac:dyDescent="0.25">
      <c r="A388" s="15">
        <v>5</v>
      </c>
      <c r="B388" s="175" t="s">
        <v>493</v>
      </c>
      <c r="C388" s="175" t="s">
        <v>494</v>
      </c>
      <c r="D388" s="175">
        <v>52</v>
      </c>
      <c r="E388" s="73">
        <f t="shared" si="43"/>
        <v>0</v>
      </c>
      <c r="G388" s="175" t="s">
        <v>493</v>
      </c>
      <c r="H388" s="175" t="s">
        <v>494</v>
      </c>
      <c r="I388" s="175">
        <v>52</v>
      </c>
      <c r="J388" s="73">
        <f t="shared" si="44"/>
        <v>0</v>
      </c>
    </row>
    <row r="389" spans="1:10" ht="18" customHeight="1" x14ac:dyDescent="0.25">
      <c r="A389" s="15">
        <v>6</v>
      </c>
      <c r="B389" s="175" t="s">
        <v>495</v>
      </c>
      <c r="C389" s="175" t="s">
        <v>496</v>
      </c>
      <c r="D389" s="175">
        <v>52</v>
      </c>
      <c r="E389" s="73">
        <f t="shared" si="43"/>
        <v>0</v>
      </c>
      <c r="G389" s="175" t="s">
        <v>495</v>
      </c>
      <c r="H389" s="175" t="s">
        <v>496</v>
      </c>
      <c r="I389" s="175">
        <v>52</v>
      </c>
      <c r="J389" s="73">
        <f t="shared" si="44"/>
        <v>0</v>
      </c>
    </row>
    <row r="390" spans="1:10" ht="18" customHeight="1" x14ac:dyDescent="0.25">
      <c r="A390" s="15">
        <v>7</v>
      </c>
      <c r="B390" s="175" t="s">
        <v>497</v>
      </c>
      <c r="C390" s="175" t="s">
        <v>498</v>
      </c>
      <c r="D390" s="175">
        <v>41</v>
      </c>
      <c r="E390" s="73">
        <f t="shared" si="43"/>
        <v>0</v>
      </c>
      <c r="G390" s="175" t="s">
        <v>497</v>
      </c>
      <c r="H390" s="175" t="s">
        <v>498</v>
      </c>
      <c r="I390" s="175">
        <v>41</v>
      </c>
      <c r="J390" s="73">
        <f t="shared" si="44"/>
        <v>0</v>
      </c>
    </row>
    <row r="391" spans="1:10" ht="18" customHeight="1" x14ac:dyDescent="0.25">
      <c r="A391" s="15">
        <v>8</v>
      </c>
      <c r="B391" s="175" t="s">
        <v>499</v>
      </c>
      <c r="C391" s="175" t="s">
        <v>500</v>
      </c>
      <c r="D391" s="175">
        <v>75</v>
      </c>
      <c r="E391" s="73">
        <f t="shared" si="43"/>
        <v>0</v>
      </c>
      <c r="G391" s="175" t="s">
        <v>499</v>
      </c>
      <c r="H391" s="175" t="s">
        <v>500</v>
      </c>
      <c r="I391" s="175">
        <v>75</v>
      </c>
      <c r="J391" s="73">
        <f t="shared" si="44"/>
        <v>0</v>
      </c>
    </row>
    <row r="392" spans="1:10" ht="18" customHeight="1" x14ac:dyDescent="0.25">
      <c r="A392" s="15">
        <v>9</v>
      </c>
      <c r="B392" s="175" t="s">
        <v>501</v>
      </c>
      <c r="C392" s="175" t="s">
        <v>502</v>
      </c>
      <c r="D392" s="175">
        <v>123</v>
      </c>
      <c r="E392" s="73">
        <f t="shared" si="43"/>
        <v>1</v>
      </c>
      <c r="G392" s="175" t="s">
        <v>501</v>
      </c>
      <c r="H392" s="175" t="s">
        <v>502</v>
      </c>
      <c r="I392" s="175">
        <v>123</v>
      </c>
      <c r="J392" s="73">
        <f t="shared" si="44"/>
        <v>1</v>
      </c>
    </row>
    <row r="393" spans="1:10" ht="18" customHeight="1" x14ac:dyDescent="0.25">
      <c r="A393" s="15">
        <v>10</v>
      </c>
      <c r="B393" s="175" t="s">
        <v>503</v>
      </c>
      <c r="C393" s="175" t="s">
        <v>504</v>
      </c>
      <c r="D393" s="175">
        <v>55</v>
      </c>
      <c r="E393" s="73">
        <f t="shared" si="43"/>
        <v>0</v>
      </c>
      <c r="G393" s="175" t="s">
        <v>503</v>
      </c>
      <c r="H393" s="175" t="s">
        <v>504</v>
      </c>
      <c r="I393" s="175">
        <v>55</v>
      </c>
      <c r="J393" s="73">
        <f t="shared" si="44"/>
        <v>0</v>
      </c>
    </row>
    <row r="394" spans="1:10" ht="18" customHeight="1" x14ac:dyDescent="0.25">
      <c r="A394" s="15">
        <v>11</v>
      </c>
      <c r="B394" s="175" t="s">
        <v>505</v>
      </c>
      <c r="C394" s="175" t="s">
        <v>506</v>
      </c>
      <c r="D394" s="175">
        <v>56</v>
      </c>
      <c r="E394" s="73">
        <f t="shared" si="43"/>
        <v>0</v>
      </c>
      <c r="G394" s="175" t="s">
        <v>505</v>
      </c>
      <c r="H394" s="175" t="s">
        <v>506</v>
      </c>
      <c r="I394" s="175">
        <v>56</v>
      </c>
      <c r="J394" s="73">
        <f t="shared" si="44"/>
        <v>0</v>
      </c>
    </row>
    <row r="395" spans="1:10" ht="18" customHeight="1" x14ac:dyDescent="0.25">
      <c r="A395" s="15">
        <v>12</v>
      </c>
      <c r="B395" s="175" t="s">
        <v>507</v>
      </c>
      <c r="C395" s="175" t="s">
        <v>508</v>
      </c>
      <c r="D395" s="175">
        <v>111</v>
      </c>
      <c r="E395" s="73">
        <f t="shared" si="43"/>
        <v>1</v>
      </c>
      <c r="G395" s="175" t="s">
        <v>507</v>
      </c>
      <c r="H395" s="175" t="s">
        <v>508</v>
      </c>
      <c r="I395" s="175">
        <v>111</v>
      </c>
      <c r="J395" s="73">
        <f t="shared" si="44"/>
        <v>1</v>
      </c>
    </row>
    <row r="396" spans="1:10" ht="18" customHeight="1" x14ac:dyDescent="0.25">
      <c r="A396" s="15">
        <v>13</v>
      </c>
      <c r="B396" s="175" t="s">
        <v>509</v>
      </c>
      <c r="C396" s="175" t="s">
        <v>510</v>
      </c>
      <c r="D396" s="175">
        <v>74</v>
      </c>
      <c r="E396" s="73">
        <f t="shared" si="43"/>
        <v>0</v>
      </c>
      <c r="G396" s="175" t="s">
        <v>509</v>
      </c>
      <c r="H396" s="175" t="s">
        <v>510</v>
      </c>
      <c r="I396" s="175">
        <v>74</v>
      </c>
      <c r="J396" s="73">
        <f t="shared" si="44"/>
        <v>0</v>
      </c>
    </row>
    <row r="397" spans="1:10" ht="18" customHeight="1" x14ac:dyDescent="0.25">
      <c r="A397" s="15">
        <v>14</v>
      </c>
      <c r="B397" s="175" t="s">
        <v>511</v>
      </c>
      <c r="C397" s="175" t="s">
        <v>512</v>
      </c>
      <c r="D397" s="175">
        <v>73</v>
      </c>
      <c r="E397" s="73">
        <f t="shared" si="43"/>
        <v>0</v>
      </c>
      <c r="G397" s="175" t="s">
        <v>511</v>
      </c>
      <c r="H397" s="175" t="s">
        <v>512</v>
      </c>
      <c r="I397" s="175">
        <v>73</v>
      </c>
      <c r="J397" s="73">
        <f t="shared" si="44"/>
        <v>0</v>
      </c>
    </row>
    <row r="398" spans="1:10" ht="18" customHeight="1" x14ac:dyDescent="0.25">
      <c r="A398" s="15">
        <v>15</v>
      </c>
      <c r="B398" s="175" t="s">
        <v>513</v>
      </c>
      <c r="C398" s="175" t="s">
        <v>514</v>
      </c>
      <c r="D398" s="175">
        <v>67</v>
      </c>
      <c r="E398" s="73">
        <f t="shared" si="43"/>
        <v>0</v>
      </c>
      <c r="G398" s="175" t="s">
        <v>513</v>
      </c>
      <c r="H398" s="175" t="s">
        <v>514</v>
      </c>
      <c r="I398" s="175">
        <v>67</v>
      </c>
      <c r="J398" s="73">
        <f t="shared" si="44"/>
        <v>0</v>
      </c>
    </row>
    <row r="399" spans="1:10" ht="18" customHeight="1" x14ac:dyDescent="0.25">
      <c r="A399" s="15">
        <v>16</v>
      </c>
      <c r="B399" s="175" t="s">
        <v>515</v>
      </c>
      <c r="C399" s="175" t="s">
        <v>516</v>
      </c>
      <c r="D399" s="175">
        <v>95</v>
      </c>
      <c r="E399" s="73">
        <f t="shared" si="43"/>
        <v>0</v>
      </c>
      <c r="G399" s="175" t="s">
        <v>515</v>
      </c>
      <c r="H399" s="175" t="s">
        <v>516</v>
      </c>
      <c r="I399" s="175">
        <v>95</v>
      </c>
      <c r="J399" s="73">
        <f t="shared" si="44"/>
        <v>0</v>
      </c>
    </row>
    <row r="400" spans="1:10" ht="18" customHeight="1" x14ac:dyDescent="0.25">
      <c r="A400" s="15">
        <v>17</v>
      </c>
      <c r="B400" s="175" t="s">
        <v>517</v>
      </c>
      <c r="C400" s="175" t="s">
        <v>518</v>
      </c>
      <c r="D400" s="175">
        <v>55</v>
      </c>
      <c r="E400" s="73">
        <f t="shared" si="43"/>
        <v>0</v>
      </c>
      <c r="G400" s="175" t="s">
        <v>517</v>
      </c>
      <c r="H400" s="175" t="s">
        <v>518</v>
      </c>
      <c r="I400" s="175">
        <v>55</v>
      </c>
      <c r="J400" s="73">
        <f t="shared" si="44"/>
        <v>0</v>
      </c>
    </row>
    <row r="401" spans="1:10" ht="18" customHeight="1" x14ac:dyDescent="0.25">
      <c r="A401" s="15">
        <v>18</v>
      </c>
      <c r="B401" s="175" t="s">
        <v>519</v>
      </c>
      <c r="C401" s="175" t="s">
        <v>520</v>
      </c>
      <c r="D401" s="175">
        <v>44</v>
      </c>
      <c r="E401" s="73">
        <f t="shared" si="43"/>
        <v>0</v>
      </c>
      <c r="G401" s="175" t="s">
        <v>519</v>
      </c>
      <c r="H401" s="175" t="s">
        <v>520</v>
      </c>
      <c r="I401" s="175">
        <v>44</v>
      </c>
      <c r="J401" s="73">
        <f t="shared" si="44"/>
        <v>0</v>
      </c>
    </row>
    <row r="402" spans="1:10" ht="18" customHeight="1" x14ac:dyDescent="0.25">
      <c r="A402" s="15">
        <v>19</v>
      </c>
      <c r="B402" s="175" t="s">
        <v>521</v>
      </c>
      <c r="C402" s="175" t="s">
        <v>522</v>
      </c>
      <c r="D402" s="175">
        <v>59</v>
      </c>
      <c r="E402" s="73">
        <f t="shared" si="43"/>
        <v>0</v>
      </c>
      <c r="G402" s="175" t="s">
        <v>521</v>
      </c>
      <c r="H402" s="175" t="s">
        <v>522</v>
      </c>
      <c r="I402" s="175">
        <v>59</v>
      </c>
      <c r="J402" s="73">
        <f t="shared" si="44"/>
        <v>0</v>
      </c>
    </row>
    <row r="403" spans="1:10" ht="18" customHeight="1" x14ac:dyDescent="0.25">
      <c r="A403" s="15">
        <v>20</v>
      </c>
      <c r="B403" s="175" t="s">
        <v>523</v>
      </c>
      <c r="C403" s="175" t="s">
        <v>524</v>
      </c>
      <c r="D403" s="175">
        <v>112</v>
      </c>
      <c r="E403" s="73">
        <f t="shared" si="43"/>
        <v>1</v>
      </c>
      <c r="G403" s="175" t="s">
        <v>523</v>
      </c>
      <c r="H403" s="175" t="s">
        <v>524</v>
      </c>
      <c r="I403" s="175">
        <v>112</v>
      </c>
      <c r="J403" s="73">
        <f t="shared" si="44"/>
        <v>1</v>
      </c>
    </row>
    <row r="404" spans="1:10" ht="18" customHeight="1" x14ac:dyDescent="0.25">
      <c r="A404" s="15">
        <v>21</v>
      </c>
      <c r="B404" s="175"/>
      <c r="C404" s="175"/>
      <c r="D404" s="175"/>
      <c r="E404" s="73" t="str">
        <f t="shared" si="43"/>
        <v/>
      </c>
      <c r="G404" s="175" t="s">
        <v>525</v>
      </c>
      <c r="H404" s="175" t="s">
        <v>526</v>
      </c>
      <c r="I404" s="175">
        <v>95</v>
      </c>
      <c r="J404" s="73">
        <f t="shared" si="44"/>
        <v>0</v>
      </c>
    </row>
    <row r="405" spans="1:10" ht="18" customHeight="1" x14ac:dyDescent="0.25">
      <c r="A405" s="15">
        <v>22</v>
      </c>
      <c r="B405" s="175"/>
      <c r="C405" s="175"/>
      <c r="D405" s="175"/>
      <c r="E405" s="73" t="str">
        <f t="shared" si="43"/>
        <v/>
      </c>
      <c r="G405" s="175" t="s">
        <v>527</v>
      </c>
      <c r="H405" s="175" t="s">
        <v>528</v>
      </c>
      <c r="I405" s="175">
        <v>90</v>
      </c>
      <c r="J405" s="73">
        <f t="shared" si="44"/>
        <v>0</v>
      </c>
    </row>
    <row r="406" spans="1:10" ht="18" customHeight="1" x14ac:dyDescent="0.25">
      <c r="A406" s="15">
        <v>23</v>
      </c>
      <c r="B406" s="175"/>
      <c r="C406" s="175"/>
      <c r="D406" s="175"/>
      <c r="E406" s="73" t="str">
        <f t="shared" si="43"/>
        <v/>
      </c>
      <c r="G406" s="175" t="s">
        <v>529</v>
      </c>
      <c r="H406" s="175" t="s">
        <v>530</v>
      </c>
      <c r="I406" s="175">
        <v>44</v>
      </c>
      <c r="J406" s="73">
        <f t="shared" si="44"/>
        <v>0</v>
      </c>
    </row>
    <row r="407" spans="1:10" ht="18" customHeight="1" x14ac:dyDescent="0.25">
      <c r="A407" s="15">
        <v>24</v>
      </c>
      <c r="B407" s="175"/>
      <c r="C407" s="175"/>
      <c r="D407" s="175"/>
      <c r="E407" s="73" t="str">
        <f t="shared" si="43"/>
        <v/>
      </c>
      <c r="G407" s="175" t="s">
        <v>531</v>
      </c>
      <c r="H407" s="175" t="s">
        <v>532</v>
      </c>
      <c r="I407" s="175">
        <v>65</v>
      </c>
      <c r="J407" s="73">
        <f t="shared" si="44"/>
        <v>0</v>
      </c>
    </row>
    <row r="408" spans="1:10" ht="18" customHeight="1" x14ac:dyDescent="0.25">
      <c r="A408" s="15">
        <v>25</v>
      </c>
      <c r="B408" s="175"/>
      <c r="C408" s="175"/>
      <c r="D408" s="175"/>
      <c r="E408" s="73" t="str">
        <f t="shared" si="43"/>
        <v/>
      </c>
      <c r="G408" s="175" t="s">
        <v>533</v>
      </c>
      <c r="H408" s="175" t="s">
        <v>534</v>
      </c>
      <c r="I408" s="175">
        <v>62</v>
      </c>
      <c r="J408" s="73">
        <f t="shared" si="44"/>
        <v>0</v>
      </c>
    </row>
    <row r="409" spans="1:10" ht="18" customHeight="1" x14ac:dyDescent="0.25">
      <c r="A409" s="15">
        <v>26</v>
      </c>
      <c r="B409" s="175"/>
      <c r="C409" s="175"/>
      <c r="D409" s="175"/>
      <c r="E409" s="73" t="str">
        <f t="shared" si="43"/>
        <v/>
      </c>
      <c r="G409" s="175" t="s">
        <v>535</v>
      </c>
      <c r="H409" s="175" t="s">
        <v>536</v>
      </c>
      <c r="I409" s="175">
        <v>46</v>
      </c>
      <c r="J409" s="73">
        <f t="shared" si="44"/>
        <v>0</v>
      </c>
    </row>
    <row r="410" spans="1:10" ht="18" customHeight="1" x14ac:dyDescent="0.25">
      <c r="A410" s="15">
        <v>27</v>
      </c>
      <c r="B410" s="175"/>
      <c r="C410" s="175"/>
      <c r="D410" s="175"/>
      <c r="E410" s="73" t="str">
        <f t="shared" si="43"/>
        <v/>
      </c>
      <c r="G410" s="175" t="s">
        <v>537</v>
      </c>
      <c r="H410" s="175" t="s">
        <v>538</v>
      </c>
      <c r="I410" s="175">
        <v>97</v>
      </c>
      <c r="J410" s="73">
        <f t="shared" si="44"/>
        <v>0</v>
      </c>
    </row>
    <row r="411" spans="1:10" ht="18" customHeight="1" x14ac:dyDescent="0.25">
      <c r="A411" s="15">
        <v>28</v>
      </c>
      <c r="B411" s="175"/>
      <c r="C411" s="175"/>
      <c r="D411" s="175"/>
      <c r="E411" s="73" t="str">
        <f t="shared" si="43"/>
        <v/>
      </c>
      <c r="G411" s="175" t="s">
        <v>539</v>
      </c>
      <c r="H411" s="175" t="s">
        <v>540</v>
      </c>
      <c r="I411" s="175">
        <v>56</v>
      </c>
      <c r="J411" s="73">
        <f t="shared" si="44"/>
        <v>0</v>
      </c>
    </row>
    <row r="412" spans="1:10" ht="18" customHeight="1" x14ac:dyDescent="0.25">
      <c r="A412" s="15">
        <v>29</v>
      </c>
      <c r="B412" s="175"/>
      <c r="C412" s="175"/>
      <c r="D412" s="175"/>
      <c r="E412" s="73" t="str">
        <f t="shared" si="43"/>
        <v/>
      </c>
      <c r="G412" s="175" t="s">
        <v>541</v>
      </c>
      <c r="H412" s="175" t="s">
        <v>542</v>
      </c>
      <c r="I412" s="175">
        <v>70</v>
      </c>
      <c r="J412" s="73">
        <f t="shared" si="44"/>
        <v>0</v>
      </c>
    </row>
    <row r="413" spans="1:10" ht="18" customHeight="1" x14ac:dyDescent="0.25">
      <c r="A413" s="15">
        <v>30</v>
      </c>
      <c r="B413" s="175"/>
      <c r="C413" s="175"/>
      <c r="D413" s="175"/>
      <c r="E413" s="73" t="str">
        <f t="shared" si="43"/>
        <v/>
      </c>
      <c r="G413" s="175" t="s">
        <v>543</v>
      </c>
      <c r="H413" s="175" t="s">
        <v>544</v>
      </c>
      <c r="I413" s="175">
        <v>71</v>
      </c>
      <c r="J413" s="73">
        <f t="shared" si="44"/>
        <v>0</v>
      </c>
    </row>
    <row r="414" spans="1:10" ht="18" customHeight="1" x14ac:dyDescent="0.25">
      <c r="A414" s="15">
        <v>31</v>
      </c>
      <c r="B414" s="175"/>
      <c r="C414" s="175"/>
      <c r="D414" s="175"/>
      <c r="E414" s="73" t="str">
        <f t="shared" si="43"/>
        <v/>
      </c>
      <c r="G414" s="175" t="s">
        <v>545</v>
      </c>
      <c r="H414" s="175" t="s">
        <v>546</v>
      </c>
      <c r="I414" s="175">
        <v>48</v>
      </c>
      <c r="J414" s="73">
        <f t="shared" si="44"/>
        <v>0</v>
      </c>
    </row>
    <row r="415" spans="1:10" ht="18" customHeight="1" x14ac:dyDescent="0.25">
      <c r="A415" s="15">
        <v>32</v>
      </c>
      <c r="B415" s="175"/>
      <c r="C415" s="175"/>
      <c r="D415" s="175"/>
      <c r="E415" s="73" t="str">
        <f t="shared" si="43"/>
        <v/>
      </c>
      <c r="G415" s="175" t="s">
        <v>547</v>
      </c>
      <c r="H415" s="175" t="s">
        <v>548</v>
      </c>
      <c r="I415" s="175">
        <v>64</v>
      </c>
      <c r="J415" s="73">
        <f t="shared" si="44"/>
        <v>0</v>
      </c>
    </row>
    <row r="416" spans="1:10" ht="18" customHeight="1" x14ac:dyDescent="0.25">
      <c r="A416" s="15">
        <v>33</v>
      </c>
      <c r="B416" s="175"/>
      <c r="C416" s="175"/>
      <c r="D416" s="175"/>
      <c r="E416" s="73" t="str">
        <f t="shared" si="43"/>
        <v/>
      </c>
      <c r="G416" s="175" t="s">
        <v>549</v>
      </c>
      <c r="H416" s="175" t="s">
        <v>550</v>
      </c>
      <c r="I416" s="175">
        <v>44</v>
      </c>
      <c r="J416" s="73">
        <f t="shared" si="44"/>
        <v>0</v>
      </c>
    </row>
    <row r="417" spans="1:10" ht="18" customHeight="1" x14ac:dyDescent="0.25">
      <c r="A417" s="15">
        <v>34</v>
      </c>
      <c r="B417" s="175"/>
      <c r="C417" s="175"/>
      <c r="D417" s="175"/>
      <c r="E417" s="73" t="str">
        <f t="shared" si="43"/>
        <v/>
      </c>
      <c r="G417" s="175" t="s">
        <v>551</v>
      </c>
      <c r="H417" s="175" t="s">
        <v>552</v>
      </c>
      <c r="I417" s="175">
        <v>75</v>
      </c>
      <c r="J417" s="73">
        <f t="shared" si="44"/>
        <v>0</v>
      </c>
    </row>
    <row r="418" spans="1:10" ht="18" customHeight="1" x14ac:dyDescent="0.25">
      <c r="A418" s="15">
        <v>35</v>
      </c>
      <c r="B418" s="175"/>
      <c r="C418" s="175"/>
      <c r="D418" s="175"/>
      <c r="E418" s="73" t="str">
        <f t="shared" si="43"/>
        <v/>
      </c>
      <c r="G418" s="175" t="s">
        <v>553</v>
      </c>
      <c r="H418" s="175" t="s">
        <v>554</v>
      </c>
      <c r="I418" s="175">
        <v>57</v>
      </c>
      <c r="J418" s="73">
        <f t="shared" si="44"/>
        <v>0</v>
      </c>
    </row>
    <row r="419" spans="1:10" ht="18" customHeight="1" x14ac:dyDescent="0.25">
      <c r="A419" s="15">
        <v>36</v>
      </c>
      <c r="B419" s="175"/>
      <c r="C419" s="175"/>
      <c r="D419" s="175"/>
      <c r="E419" s="73" t="str">
        <f t="shared" si="43"/>
        <v/>
      </c>
      <c r="G419" s="175" t="s">
        <v>555</v>
      </c>
      <c r="H419" s="175" t="s">
        <v>556</v>
      </c>
      <c r="I419" s="175">
        <v>52</v>
      </c>
      <c r="J419" s="73">
        <f t="shared" si="44"/>
        <v>0</v>
      </c>
    </row>
    <row r="420" spans="1:10" ht="18" customHeight="1" x14ac:dyDescent="0.25">
      <c r="A420" s="15">
        <v>37</v>
      </c>
      <c r="B420" s="175"/>
      <c r="C420" s="175"/>
      <c r="D420" s="175"/>
      <c r="E420" s="73" t="str">
        <f t="shared" si="43"/>
        <v/>
      </c>
      <c r="G420" s="175" t="s">
        <v>557</v>
      </c>
      <c r="H420" s="175" t="s">
        <v>558</v>
      </c>
      <c r="I420" s="175">
        <v>69</v>
      </c>
      <c r="J420" s="73">
        <f t="shared" si="44"/>
        <v>0</v>
      </c>
    </row>
    <row r="421" spans="1:10" ht="18" customHeight="1" x14ac:dyDescent="0.25">
      <c r="A421" s="15">
        <v>38</v>
      </c>
      <c r="B421" s="175"/>
      <c r="C421" s="175"/>
      <c r="D421" s="175"/>
      <c r="E421" s="73" t="str">
        <f t="shared" si="43"/>
        <v/>
      </c>
      <c r="G421" s="175" t="s">
        <v>559</v>
      </c>
      <c r="H421" s="175" t="s">
        <v>560</v>
      </c>
      <c r="I421" s="175">
        <v>95</v>
      </c>
      <c r="J421" s="73">
        <f t="shared" si="44"/>
        <v>0</v>
      </c>
    </row>
    <row r="422" spans="1:10" ht="18" customHeight="1" x14ac:dyDescent="0.25">
      <c r="A422" s="15">
        <v>39</v>
      </c>
      <c r="B422" s="175"/>
      <c r="C422" s="175"/>
      <c r="D422" s="175"/>
      <c r="E422" s="73" t="str">
        <f t="shared" si="43"/>
        <v/>
      </c>
      <c r="G422" s="175" t="s">
        <v>561</v>
      </c>
      <c r="H422" s="175" t="s">
        <v>562</v>
      </c>
      <c r="I422" s="175">
        <v>51</v>
      </c>
      <c r="J422" s="73">
        <f t="shared" si="44"/>
        <v>0</v>
      </c>
    </row>
    <row r="423" spans="1:10" ht="18" customHeight="1" x14ac:dyDescent="0.25">
      <c r="A423" s="15">
        <v>40</v>
      </c>
      <c r="B423" s="175"/>
      <c r="C423" s="175"/>
      <c r="D423" s="175"/>
      <c r="E423" s="73" t="str">
        <f t="shared" si="43"/>
        <v/>
      </c>
      <c r="G423" s="175" t="s">
        <v>563</v>
      </c>
      <c r="H423" s="175" t="s">
        <v>564</v>
      </c>
      <c r="I423" s="175">
        <v>74</v>
      </c>
      <c r="J423" s="73">
        <f t="shared" si="44"/>
        <v>0</v>
      </c>
    </row>
    <row r="426" spans="1:10" ht="18" customHeight="1" x14ac:dyDescent="0.25">
      <c r="C426" s="46" t="s">
        <v>565</v>
      </c>
      <c r="D426" s="73" t="str">
        <f>IF(ISNUMBER(D429),IF(D429&gt;=0.05,"Pass","Fail"),"")</f>
        <v>Fail</v>
      </c>
      <c r="H426" s="46" t="s">
        <v>565</v>
      </c>
      <c r="I426" s="73" t="str">
        <f>IF(ISNUMBER(I429),IF(I429&gt;=0.05,"Pass","Fail"),"")</f>
        <v>Pass</v>
      </c>
    </row>
    <row r="427" spans="1:10" ht="18" customHeight="1" x14ac:dyDescent="0.25">
      <c r="C427" s="120" t="s">
        <v>318</v>
      </c>
      <c r="D427" s="73">
        <f>COUNT(E384:E423)</f>
        <v>20</v>
      </c>
      <c r="H427" s="120" t="s">
        <v>318</v>
      </c>
      <c r="I427" s="73">
        <f>COUNT(J384:J423)</f>
        <v>40</v>
      </c>
    </row>
    <row r="428" spans="1:10" ht="18" customHeight="1" x14ac:dyDescent="0.25">
      <c r="C428" s="120" t="s">
        <v>566</v>
      </c>
      <c r="D428" s="73">
        <f>SUM(E384:E423)</f>
        <v>3</v>
      </c>
      <c r="H428" s="120" t="s">
        <v>566</v>
      </c>
      <c r="I428" s="73">
        <f>SUM(J384:J423)</f>
        <v>3</v>
      </c>
    </row>
    <row r="429" spans="1:10" ht="18" customHeight="1" x14ac:dyDescent="0.25">
      <c r="C429" s="120" t="s">
        <v>567</v>
      </c>
      <c r="D429" s="73">
        <f>IF(D427&gt;0,1-_xlfn.BINOM.DIST(D428,D427,0.05,TRUE()),"")</f>
        <v>1.590152601976369E-2</v>
      </c>
      <c r="H429" s="120" t="s">
        <v>567</v>
      </c>
      <c r="I429" s="73">
        <f>IF(I427&gt;0,1-_xlfn.BINOM.DIST(I428,I427,0.05,TRUE()),"")</f>
        <v>0.13814977550106611</v>
      </c>
    </row>
    <row r="432" spans="1:10" s="8" customFormat="1" ht="18" customHeight="1" x14ac:dyDescent="0.25">
      <c r="B432" s="8" t="s">
        <v>568</v>
      </c>
    </row>
    <row r="434" spans="1:24" s="135" customFormat="1" ht="18" customHeight="1" x14ac:dyDescent="0.25">
      <c r="B434" s="136" t="s">
        <v>569</v>
      </c>
      <c r="C434" s="136"/>
      <c r="D434" s="136"/>
      <c r="E434" s="136" t="s">
        <v>354</v>
      </c>
    </row>
    <row r="435" spans="1:24" s="135" customFormat="1" ht="18" customHeight="1" x14ac:dyDescent="0.25">
      <c r="B435" s="222"/>
      <c r="C435" s="223"/>
      <c r="D435" s="137"/>
      <c r="E435" s="222"/>
      <c r="F435" s="223"/>
      <c r="G435" s="137"/>
      <c r="H435" s="137"/>
      <c r="I435" s="137"/>
      <c r="J435" s="137"/>
      <c r="K435" s="137"/>
    </row>
    <row r="436" spans="1:24" s="135" customFormat="1" ht="18" customHeight="1" x14ac:dyDescent="0.25">
      <c r="B436" s="136" t="s">
        <v>387</v>
      </c>
      <c r="C436" s="136"/>
      <c r="D436" s="136"/>
      <c r="E436" s="136" t="s">
        <v>355</v>
      </c>
    </row>
    <row r="437" spans="1:24" s="135" customFormat="1" ht="18" customHeight="1" x14ac:dyDescent="0.25">
      <c r="B437" s="222"/>
      <c r="C437" s="223"/>
      <c r="D437" s="137"/>
      <c r="E437" s="222"/>
      <c r="F437" s="223"/>
      <c r="G437" s="137"/>
      <c r="H437" s="137"/>
      <c r="I437" s="137"/>
      <c r="J437" s="137"/>
      <c r="K437" s="137"/>
    </row>
    <row r="438" spans="1:24" s="135" customFormat="1" ht="18" customHeight="1" x14ac:dyDescent="0.25">
      <c r="A438" s="138"/>
    </row>
    <row r="439" spans="1:24" s="180" customFormat="1" ht="18" customHeight="1" x14ac:dyDescent="0.25">
      <c r="B439" s="181" t="s">
        <v>570</v>
      </c>
      <c r="C439" s="181"/>
    </row>
    <row r="440" spans="1:24" s="139" customFormat="1" ht="18" customHeight="1" x14ac:dyDescent="0.25"/>
    <row r="441" spans="1:24" s="139" customFormat="1" ht="18" customHeight="1" x14ac:dyDescent="0.25">
      <c r="B441" s="206" t="s">
        <v>571</v>
      </c>
      <c r="C441" s="206"/>
      <c r="D441" s="176">
        <v>0.9</v>
      </c>
      <c r="E441" s="140" t="str">
        <f>G4</f>
        <v>ng/L</v>
      </c>
    </row>
    <row r="442" spans="1:24" s="139" customFormat="1" ht="18" customHeight="1" x14ac:dyDescent="0.25"/>
    <row r="443" spans="1:24" s="135" customFormat="1" ht="18" customHeight="1" x14ac:dyDescent="0.25">
      <c r="C443" s="210" t="s">
        <v>572</v>
      </c>
      <c r="D443" s="210"/>
      <c r="E443" s="210"/>
      <c r="F443" s="210"/>
      <c r="G443" s="210"/>
      <c r="H443" s="141"/>
      <c r="I443" s="136"/>
      <c r="J443" s="142"/>
    </row>
    <row r="444" spans="1:24" s="135" customFormat="1" ht="18" customHeight="1" x14ac:dyDescent="0.25">
      <c r="C444" s="210"/>
      <c r="D444" s="210"/>
      <c r="E444" s="210"/>
      <c r="F444" s="210"/>
      <c r="G444" s="210"/>
      <c r="H444" s="141"/>
      <c r="I444" s="139"/>
      <c r="J444" s="211" t="s">
        <v>573</v>
      </c>
      <c r="K444" s="211"/>
      <c r="L444" s="211"/>
      <c r="M444" s="211"/>
      <c r="N444" s="211"/>
      <c r="O444" s="211"/>
      <c r="P444" s="211"/>
      <c r="Q444" s="211"/>
      <c r="V444" s="203" t="s">
        <v>574</v>
      </c>
      <c r="W444" s="203"/>
      <c r="X444" s="203"/>
    </row>
    <row r="445" spans="1:24" s="135" customFormat="1" ht="18" customHeight="1" x14ac:dyDescent="0.25">
      <c r="C445" s="143" t="s">
        <v>444</v>
      </c>
      <c r="D445" s="143" t="s">
        <v>575</v>
      </c>
      <c r="E445" s="143" t="s">
        <v>576</v>
      </c>
      <c r="F445" s="143" t="s">
        <v>577</v>
      </c>
      <c r="G445" s="143" t="s">
        <v>578</v>
      </c>
      <c r="J445" s="204" t="s">
        <v>579</v>
      </c>
      <c r="K445" s="204"/>
      <c r="L445" s="204"/>
      <c r="M445" s="204"/>
      <c r="N445" s="204" t="s">
        <v>580</v>
      </c>
      <c r="O445" s="204"/>
      <c r="P445" s="204"/>
      <c r="Q445" s="204"/>
      <c r="V445" s="145">
        <f t="shared" ref="V445:X453" si="45">IF(E446&lt;=$D$441,1,"")</f>
        <v>1</v>
      </c>
      <c r="W445" s="145">
        <f t="shared" si="45"/>
        <v>1</v>
      </c>
      <c r="X445" s="145">
        <f t="shared" si="45"/>
        <v>1</v>
      </c>
    </row>
    <row r="446" spans="1:24" s="135" customFormat="1" ht="18" customHeight="1" x14ac:dyDescent="0.25">
      <c r="C446" s="209" t="s">
        <v>449</v>
      </c>
      <c r="D446" s="177">
        <v>44857</v>
      </c>
      <c r="E446" s="178">
        <v>0.5</v>
      </c>
      <c r="F446" s="178">
        <v>0.8</v>
      </c>
      <c r="G446" s="146"/>
      <c r="J446" s="204">
        <v>20</v>
      </c>
      <c r="K446" s="204"/>
      <c r="L446" s="204"/>
      <c r="M446" s="204"/>
      <c r="N446" s="205">
        <f t="shared" ref="N446:N461" si="46">_xlfn.BINOM.INV(J446,0.95,0.05)/J446</f>
        <v>0.85</v>
      </c>
      <c r="O446" s="205"/>
      <c r="P446" s="205"/>
      <c r="Q446" s="205"/>
      <c r="V446" s="145">
        <f t="shared" si="45"/>
        <v>1</v>
      </c>
      <c r="W446" s="145">
        <f t="shared" si="45"/>
        <v>1</v>
      </c>
      <c r="X446" s="145">
        <f t="shared" si="45"/>
        <v>1</v>
      </c>
    </row>
    <row r="447" spans="1:24" s="135" customFormat="1" ht="18" customHeight="1" x14ac:dyDescent="0.25">
      <c r="C447" s="209"/>
      <c r="D447" s="177">
        <v>44857</v>
      </c>
      <c r="E447" s="178">
        <v>0.5</v>
      </c>
      <c r="F447" s="178">
        <v>0.5</v>
      </c>
      <c r="G447" s="146"/>
      <c r="J447" s="204">
        <v>30</v>
      </c>
      <c r="K447" s="204"/>
      <c r="L447" s="204"/>
      <c r="M447" s="204"/>
      <c r="N447" s="205">
        <f t="shared" si="46"/>
        <v>0.8666666666666667</v>
      </c>
      <c r="O447" s="205"/>
      <c r="P447" s="205"/>
      <c r="Q447" s="205"/>
      <c r="V447" s="145">
        <f t="shared" si="45"/>
        <v>1</v>
      </c>
      <c r="W447" s="145">
        <f t="shared" si="45"/>
        <v>1</v>
      </c>
      <c r="X447" s="145">
        <f t="shared" si="45"/>
        <v>1</v>
      </c>
    </row>
    <row r="448" spans="1:24" s="135" customFormat="1" ht="18" customHeight="1" x14ac:dyDescent="0.25">
      <c r="C448" s="209"/>
      <c r="D448" s="177">
        <v>44857</v>
      </c>
      <c r="E448" s="178">
        <v>0.6</v>
      </c>
      <c r="F448" s="178">
        <v>0.6</v>
      </c>
      <c r="G448" s="146"/>
      <c r="J448" s="204">
        <v>40</v>
      </c>
      <c r="K448" s="204"/>
      <c r="L448" s="204"/>
      <c r="M448" s="204"/>
      <c r="N448" s="205">
        <f t="shared" si="46"/>
        <v>0.9</v>
      </c>
      <c r="O448" s="205"/>
      <c r="P448" s="205"/>
      <c r="Q448" s="205"/>
      <c r="V448" s="145">
        <f t="shared" si="45"/>
        <v>1</v>
      </c>
      <c r="W448" s="145">
        <f t="shared" si="45"/>
        <v>1</v>
      </c>
      <c r="X448" s="145">
        <f t="shared" si="45"/>
        <v>1</v>
      </c>
    </row>
    <row r="449" spans="1:24" s="135" customFormat="1" ht="18" customHeight="1" x14ac:dyDescent="0.25">
      <c r="C449" s="209" t="s">
        <v>451</v>
      </c>
      <c r="D449" s="177">
        <v>44858</v>
      </c>
      <c r="E449" s="178">
        <v>0.7</v>
      </c>
      <c r="F449" s="178">
        <v>0.7</v>
      </c>
      <c r="G449" s="146"/>
      <c r="J449" s="204">
        <v>50</v>
      </c>
      <c r="K449" s="204"/>
      <c r="L449" s="204"/>
      <c r="M449" s="204"/>
      <c r="N449" s="205">
        <f t="shared" si="46"/>
        <v>0.9</v>
      </c>
      <c r="O449" s="205"/>
      <c r="P449" s="205"/>
      <c r="Q449" s="205"/>
      <c r="V449" s="145">
        <f t="shared" si="45"/>
        <v>1</v>
      </c>
      <c r="W449" s="145">
        <f t="shared" si="45"/>
        <v>1</v>
      </c>
      <c r="X449" s="145">
        <f t="shared" si="45"/>
        <v>1</v>
      </c>
    </row>
    <row r="450" spans="1:24" s="135" customFormat="1" ht="18" customHeight="1" x14ac:dyDescent="0.25">
      <c r="C450" s="209"/>
      <c r="D450" s="177">
        <v>44858</v>
      </c>
      <c r="E450" s="178">
        <v>0.7</v>
      </c>
      <c r="F450" s="178">
        <v>0.7</v>
      </c>
      <c r="G450" s="146"/>
      <c r="J450" s="204">
        <v>60</v>
      </c>
      <c r="K450" s="204"/>
      <c r="L450" s="204"/>
      <c r="M450" s="204"/>
      <c r="N450" s="205">
        <f t="shared" si="46"/>
        <v>0.9</v>
      </c>
      <c r="O450" s="205"/>
      <c r="P450" s="205"/>
      <c r="Q450" s="205"/>
      <c r="V450" s="145">
        <f t="shared" si="45"/>
        <v>1</v>
      </c>
      <c r="W450" s="145">
        <f t="shared" si="45"/>
        <v>1</v>
      </c>
      <c r="X450" s="145">
        <f t="shared" si="45"/>
        <v>1</v>
      </c>
    </row>
    <row r="451" spans="1:24" s="135" customFormat="1" ht="18" customHeight="1" x14ac:dyDescent="0.25">
      <c r="C451" s="209"/>
      <c r="D451" s="177">
        <v>44858</v>
      </c>
      <c r="E451" s="178">
        <v>0.8</v>
      </c>
      <c r="F451" s="178">
        <v>0.9</v>
      </c>
      <c r="G451" s="146"/>
      <c r="J451" s="204">
        <v>70</v>
      </c>
      <c r="K451" s="204"/>
      <c r="L451" s="204"/>
      <c r="M451" s="204"/>
      <c r="N451" s="205">
        <f t="shared" si="46"/>
        <v>0.9</v>
      </c>
      <c r="O451" s="205"/>
      <c r="P451" s="205"/>
      <c r="Q451" s="205"/>
      <c r="V451" s="145">
        <f t="shared" si="45"/>
        <v>1</v>
      </c>
      <c r="W451" s="145">
        <f t="shared" si="45"/>
        <v>1</v>
      </c>
      <c r="X451" s="145">
        <f t="shared" si="45"/>
        <v>1</v>
      </c>
    </row>
    <row r="452" spans="1:24" s="135" customFormat="1" ht="18" customHeight="1" x14ac:dyDescent="0.25">
      <c r="C452" s="209" t="s">
        <v>452</v>
      </c>
      <c r="D452" s="177">
        <v>44859</v>
      </c>
      <c r="E452" s="178">
        <v>0.5</v>
      </c>
      <c r="F452" s="178">
        <v>0.6</v>
      </c>
      <c r="G452" s="146"/>
      <c r="J452" s="204">
        <v>80</v>
      </c>
      <c r="K452" s="204"/>
      <c r="L452" s="204"/>
      <c r="M452" s="204"/>
      <c r="N452" s="205">
        <f t="shared" si="46"/>
        <v>0.91249999999999998</v>
      </c>
      <c r="O452" s="205"/>
      <c r="P452" s="205"/>
      <c r="Q452" s="205"/>
      <c r="V452" s="145">
        <f t="shared" si="45"/>
        <v>1</v>
      </c>
      <c r="W452" s="145">
        <f t="shared" si="45"/>
        <v>1</v>
      </c>
      <c r="X452" s="145">
        <f t="shared" si="45"/>
        <v>1</v>
      </c>
    </row>
    <row r="453" spans="1:24" s="135" customFormat="1" ht="18" customHeight="1" x14ac:dyDescent="0.25">
      <c r="C453" s="209"/>
      <c r="D453" s="177">
        <v>44859</v>
      </c>
      <c r="E453" s="178">
        <v>0.4</v>
      </c>
      <c r="F453" s="178">
        <v>0.5</v>
      </c>
      <c r="G453" s="146"/>
      <c r="J453" s="204">
        <v>90</v>
      </c>
      <c r="K453" s="204"/>
      <c r="L453" s="204"/>
      <c r="M453" s="204"/>
      <c r="N453" s="205">
        <f t="shared" si="46"/>
        <v>0.91111111111111109</v>
      </c>
      <c r="O453" s="205"/>
      <c r="P453" s="205"/>
      <c r="Q453" s="205"/>
      <c r="V453" s="145">
        <f t="shared" si="45"/>
        <v>1</v>
      </c>
      <c r="W453" s="145">
        <f t="shared" si="45"/>
        <v>1</v>
      </c>
      <c r="X453" s="145">
        <f t="shared" si="45"/>
        <v>1</v>
      </c>
    </row>
    <row r="454" spans="1:24" s="135" customFormat="1" ht="18" customHeight="1" x14ac:dyDescent="0.25">
      <c r="C454" s="209"/>
      <c r="D454" s="177">
        <v>44859</v>
      </c>
      <c r="E454" s="178">
        <v>0.6</v>
      </c>
      <c r="F454" s="178">
        <v>0.7</v>
      </c>
      <c r="G454" s="146"/>
      <c r="J454" s="204">
        <v>100</v>
      </c>
      <c r="K454" s="204"/>
      <c r="L454" s="204"/>
      <c r="M454" s="204"/>
      <c r="N454" s="205">
        <f t="shared" si="46"/>
        <v>0.91</v>
      </c>
      <c r="O454" s="205"/>
      <c r="P454" s="205"/>
      <c r="Q454" s="205"/>
      <c r="S454" s="197" t="s">
        <v>581</v>
      </c>
      <c r="T454" s="197"/>
      <c r="U454" s="145">
        <f>SUM(V445:X453)</f>
        <v>27</v>
      </c>
    </row>
    <row r="455" spans="1:24" s="135" customFormat="1" ht="18" customHeight="1" x14ac:dyDescent="0.25">
      <c r="J455" s="204">
        <v>150</v>
      </c>
      <c r="K455" s="204"/>
      <c r="L455" s="204"/>
      <c r="M455" s="204"/>
      <c r="N455" s="205">
        <f t="shared" si="46"/>
        <v>0.92</v>
      </c>
      <c r="O455" s="205"/>
      <c r="P455" s="205"/>
      <c r="Q455" s="205"/>
      <c r="S455" s="197" t="s">
        <v>582</v>
      </c>
      <c r="T455" s="197"/>
      <c r="U455" s="148">
        <f>U454/D457*100</f>
        <v>150</v>
      </c>
      <c r="V455" s="135" t="s">
        <v>147</v>
      </c>
    </row>
    <row r="456" spans="1:24" s="135" customFormat="1" ht="18" customHeight="1" x14ac:dyDescent="0.25">
      <c r="J456" s="204">
        <v>200</v>
      </c>
      <c r="K456" s="204"/>
      <c r="L456" s="204"/>
      <c r="M456" s="204"/>
      <c r="N456" s="205">
        <f t="shared" si="46"/>
        <v>0.92500000000000004</v>
      </c>
      <c r="O456" s="205"/>
      <c r="P456" s="205"/>
      <c r="Q456" s="205"/>
    </row>
    <row r="457" spans="1:24" s="135" customFormat="1" ht="18" customHeight="1" x14ac:dyDescent="0.25">
      <c r="B457" s="195" t="s">
        <v>583</v>
      </c>
      <c r="C457" s="195"/>
      <c r="D457" s="144">
        <f>COUNT(E446:G454)</f>
        <v>18</v>
      </c>
      <c r="F457" s="149" t="s">
        <v>584</v>
      </c>
      <c r="G457" s="145">
        <f>_xlfn.BINOM.INV($D457,0.95,0.05)</f>
        <v>15</v>
      </c>
      <c r="J457" s="204">
        <v>250</v>
      </c>
      <c r="K457" s="204"/>
      <c r="L457" s="204"/>
      <c r="M457" s="204"/>
      <c r="N457" s="205">
        <f t="shared" si="46"/>
        <v>0.92800000000000005</v>
      </c>
      <c r="O457" s="205"/>
      <c r="P457" s="205"/>
      <c r="Q457" s="205"/>
    </row>
    <row r="458" spans="1:24" s="135" customFormat="1" ht="18" customHeight="1" x14ac:dyDescent="0.25">
      <c r="B458" s="195" t="s">
        <v>585</v>
      </c>
      <c r="C458" s="195"/>
      <c r="D458" s="145">
        <f>AVERAGE(E446:G454)</f>
        <v>0.62777777777777777</v>
      </c>
      <c r="F458" s="149" t="s">
        <v>586</v>
      </c>
      <c r="G458" s="150">
        <f>G457/D457</f>
        <v>0.83333333333333337</v>
      </c>
      <c r="J458" s="204">
        <v>300</v>
      </c>
      <c r="K458" s="204"/>
      <c r="L458" s="204"/>
      <c r="M458" s="204"/>
      <c r="N458" s="205">
        <f t="shared" si="46"/>
        <v>0.93</v>
      </c>
      <c r="O458" s="205"/>
      <c r="P458" s="205"/>
      <c r="Q458" s="205"/>
    </row>
    <row r="459" spans="1:24" s="135" customFormat="1" ht="18" customHeight="1" x14ac:dyDescent="0.25">
      <c r="B459" s="195" t="s">
        <v>587</v>
      </c>
      <c r="C459" s="195"/>
      <c r="D459" s="145">
        <f>_xlfn.STDEV.P(E446:G454)</f>
        <v>0.12825995978461377</v>
      </c>
      <c r="J459" s="204">
        <v>400</v>
      </c>
      <c r="K459" s="204"/>
      <c r="L459" s="204"/>
      <c r="M459" s="204"/>
      <c r="N459" s="205">
        <f t="shared" si="46"/>
        <v>0.9325</v>
      </c>
      <c r="O459" s="205"/>
      <c r="P459" s="205"/>
      <c r="Q459" s="205"/>
    </row>
    <row r="460" spans="1:24" s="135" customFormat="1" ht="18" customHeight="1" x14ac:dyDescent="0.25">
      <c r="A460" s="200" t="s">
        <v>588</v>
      </c>
      <c r="B460" s="200"/>
      <c r="C460" s="200"/>
      <c r="D460" s="144">
        <f>D458+G461*D459</f>
        <v>0.84232238121273217</v>
      </c>
      <c r="E460" s="135">
        <f>D432</f>
        <v>0</v>
      </c>
      <c r="F460" s="149" t="s">
        <v>439</v>
      </c>
      <c r="G460" s="146">
        <v>0.05</v>
      </c>
      <c r="J460" s="204">
        <v>500</v>
      </c>
      <c r="K460" s="204"/>
      <c r="L460" s="204"/>
      <c r="M460" s="204"/>
      <c r="N460" s="205">
        <f t="shared" si="46"/>
        <v>0.93400000000000005</v>
      </c>
      <c r="O460" s="205"/>
      <c r="P460" s="205"/>
      <c r="Q460" s="205"/>
    </row>
    <row r="461" spans="1:24" s="135" customFormat="1" ht="18" customHeight="1" x14ac:dyDescent="0.25">
      <c r="B461" s="147"/>
      <c r="C461" s="147"/>
      <c r="D461" s="143" t="str">
        <f>IF(U454&gt;=G457,"Pass","Fail")</f>
        <v>Pass</v>
      </c>
      <c r="F461" s="149" t="s">
        <v>589</v>
      </c>
      <c r="G461" s="152">
        <f>_xlfn.NORM.INV(1-G460,0,1)/(1-(1/(4*((COUNT(E446:E454)-1)+(COUNT(F446:F454)-1)+(COUNT(G446:G454)-1)))))</f>
        <v>1.6727325019845474</v>
      </c>
      <c r="J461" s="204">
        <v>1000</v>
      </c>
      <c r="K461" s="204"/>
      <c r="L461" s="204"/>
      <c r="M461" s="204"/>
      <c r="N461" s="205">
        <f t="shared" si="46"/>
        <v>0.93799999999999994</v>
      </c>
      <c r="O461" s="205"/>
      <c r="P461" s="205"/>
      <c r="Q461" s="205"/>
    </row>
    <row r="462" spans="1:24" s="135" customFormat="1" ht="18" customHeight="1" x14ac:dyDescent="0.25">
      <c r="B462" s="147"/>
      <c r="C462" s="147"/>
    </row>
    <row r="463" spans="1:24" s="135" customFormat="1" ht="18" customHeight="1" x14ac:dyDescent="0.25">
      <c r="B463" s="147"/>
      <c r="C463" s="147"/>
    </row>
    <row r="464" spans="1:24" s="135" customFormat="1" ht="18" customHeight="1" x14ac:dyDescent="0.25"/>
    <row r="465" spans="2:24" s="180" customFormat="1" ht="18" customHeight="1" x14ac:dyDescent="0.25">
      <c r="B465" s="181" t="s">
        <v>590</v>
      </c>
    </row>
    <row r="466" spans="2:24" s="139" customFormat="1" ht="18" customHeight="1" x14ac:dyDescent="0.25"/>
    <row r="467" spans="2:24" s="139" customFormat="1" ht="18" customHeight="1" x14ac:dyDescent="0.25">
      <c r="B467" s="206" t="s">
        <v>591</v>
      </c>
      <c r="C467" s="206"/>
      <c r="D467" s="179">
        <v>1.1000000000000001</v>
      </c>
      <c r="E467" s="140" t="str">
        <f>G4</f>
        <v>ng/L</v>
      </c>
    </row>
    <row r="468" spans="2:24" s="135" customFormat="1" ht="18" customHeight="1" x14ac:dyDescent="0.25">
      <c r="K468" s="153"/>
      <c r="L468" s="153"/>
      <c r="M468" s="153"/>
      <c r="V468" s="207" t="s">
        <v>592</v>
      </c>
      <c r="W468" s="207"/>
      <c r="X468" s="207"/>
    </row>
    <row r="469" spans="2:24" s="135" customFormat="1" ht="18" customHeight="1" x14ac:dyDescent="0.25">
      <c r="C469" s="208" t="s">
        <v>593</v>
      </c>
      <c r="D469" s="208"/>
      <c r="E469" s="208"/>
      <c r="F469" s="208"/>
      <c r="G469" s="208"/>
      <c r="J469" s="147"/>
      <c r="K469" s="154"/>
      <c r="L469" s="154"/>
      <c r="M469" s="154"/>
      <c r="V469" s="145">
        <f t="shared" ref="V469:X477" si="47">IF(E472&gt;=$D$441,1,"")</f>
        <v>1</v>
      </c>
      <c r="W469" s="145">
        <f t="shared" si="47"/>
        <v>1</v>
      </c>
      <c r="X469" s="145" t="str">
        <f t="shared" si="47"/>
        <v/>
      </c>
    </row>
    <row r="470" spans="2:24" s="135" customFormat="1" ht="18" customHeight="1" x14ac:dyDescent="0.25">
      <c r="C470" s="208"/>
      <c r="D470" s="208"/>
      <c r="E470" s="208"/>
      <c r="F470" s="208"/>
      <c r="G470" s="208"/>
      <c r="J470" s="147"/>
      <c r="K470" s="154"/>
      <c r="L470" s="154"/>
      <c r="M470" s="154"/>
      <c r="V470" s="145">
        <f t="shared" si="47"/>
        <v>1</v>
      </c>
      <c r="W470" s="145" t="str">
        <f t="shared" si="47"/>
        <v/>
      </c>
      <c r="X470" s="145" t="str">
        <f t="shared" si="47"/>
        <v/>
      </c>
    </row>
    <row r="471" spans="2:24" s="135" customFormat="1" ht="18" customHeight="1" x14ac:dyDescent="0.25">
      <c r="C471" s="143" t="s">
        <v>444</v>
      </c>
      <c r="D471" s="143" t="s">
        <v>575</v>
      </c>
      <c r="E471" s="143" t="s">
        <v>576</v>
      </c>
      <c r="F471" s="143" t="s">
        <v>577</v>
      </c>
      <c r="G471" s="143" t="s">
        <v>578</v>
      </c>
      <c r="I471" s="135" t="s">
        <v>594</v>
      </c>
      <c r="V471" s="145">
        <f t="shared" si="47"/>
        <v>1</v>
      </c>
      <c r="W471" s="145">
        <f t="shared" si="47"/>
        <v>1</v>
      </c>
      <c r="X471" s="145" t="str">
        <f t="shared" si="47"/>
        <v/>
      </c>
    </row>
    <row r="472" spans="2:24" s="135" customFormat="1" ht="18" customHeight="1" x14ac:dyDescent="0.25">
      <c r="C472" s="198" t="s">
        <v>449</v>
      </c>
      <c r="D472" s="177">
        <v>44857</v>
      </c>
      <c r="E472" s="178">
        <v>1</v>
      </c>
      <c r="F472" s="178">
        <v>1</v>
      </c>
      <c r="G472" s="146"/>
      <c r="V472" s="145">
        <f t="shared" si="47"/>
        <v>1</v>
      </c>
      <c r="W472" s="145">
        <f t="shared" si="47"/>
        <v>1</v>
      </c>
      <c r="X472" s="145" t="str">
        <f t="shared" si="47"/>
        <v/>
      </c>
    </row>
    <row r="473" spans="2:24" s="135" customFormat="1" ht="18" customHeight="1" x14ac:dyDescent="0.25">
      <c r="C473" s="198"/>
      <c r="D473" s="177">
        <v>44857</v>
      </c>
      <c r="E473" s="178">
        <v>0.9</v>
      </c>
      <c r="F473" s="178">
        <v>0.8</v>
      </c>
      <c r="G473" s="146"/>
      <c r="V473" s="145">
        <f t="shared" si="47"/>
        <v>1</v>
      </c>
      <c r="W473" s="145">
        <f t="shared" si="47"/>
        <v>1</v>
      </c>
      <c r="X473" s="145" t="str">
        <f t="shared" si="47"/>
        <v/>
      </c>
    </row>
    <row r="474" spans="2:24" s="135" customFormat="1" ht="18" customHeight="1" x14ac:dyDescent="0.25">
      <c r="C474" s="198"/>
      <c r="D474" s="177">
        <v>44857</v>
      </c>
      <c r="E474" s="178">
        <v>1</v>
      </c>
      <c r="F474" s="178">
        <v>1.1000000000000001</v>
      </c>
      <c r="G474" s="146"/>
      <c r="V474" s="145">
        <f t="shared" si="47"/>
        <v>1</v>
      </c>
      <c r="W474" s="145">
        <f t="shared" si="47"/>
        <v>1</v>
      </c>
      <c r="X474" s="145" t="str">
        <f t="shared" si="47"/>
        <v/>
      </c>
    </row>
    <row r="475" spans="2:24" s="135" customFormat="1" ht="18" customHeight="1" x14ac:dyDescent="0.25">
      <c r="C475" s="198" t="s">
        <v>451</v>
      </c>
      <c r="D475" s="177">
        <v>44858</v>
      </c>
      <c r="E475" s="178">
        <v>1.1000000000000001</v>
      </c>
      <c r="F475" s="178">
        <v>1</v>
      </c>
      <c r="G475" s="146"/>
      <c r="V475" s="145">
        <f t="shared" si="47"/>
        <v>1</v>
      </c>
      <c r="W475" s="145">
        <f t="shared" si="47"/>
        <v>1</v>
      </c>
      <c r="X475" s="145" t="str">
        <f t="shared" si="47"/>
        <v/>
      </c>
    </row>
    <row r="476" spans="2:24" s="135" customFormat="1" ht="18" customHeight="1" x14ac:dyDescent="0.25">
      <c r="C476" s="198"/>
      <c r="D476" s="177">
        <v>44858</v>
      </c>
      <c r="E476" s="178">
        <v>0.9</v>
      </c>
      <c r="F476" s="178">
        <v>1</v>
      </c>
      <c r="G476" s="146"/>
      <c r="V476" s="145">
        <f t="shared" si="47"/>
        <v>1</v>
      </c>
      <c r="W476" s="145">
        <f t="shared" si="47"/>
        <v>1</v>
      </c>
      <c r="X476" s="145" t="str">
        <f t="shared" si="47"/>
        <v/>
      </c>
    </row>
    <row r="477" spans="2:24" s="135" customFormat="1" ht="18" customHeight="1" x14ac:dyDescent="0.25">
      <c r="C477" s="198"/>
      <c r="D477" s="177">
        <v>44858</v>
      </c>
      <c r="E477" s="178">
        <v>1.1000000000000001</v>
      </c>
      <c r="F477" s="178">
        <v>1.1000000000000001</v>
      </c>
      <c r="G477" s="146"/>
      <c r="V477" s="145">
        <f t="shared" si="47"/>
        <v>1</v>
      </c>
      <c r="W477" s="145">
        <f t="shared" si="47"/>
        <v>1</v>
      </c>
      <c r="X477" s="145" t="str">
        <f t="shared" si="47"/>
        <v/>
      </c>
    </row>
    <row r="478" spans="2:24" s="135" customFormat="1" ht="18" customHeight="1" x14ac:dyDescent="0.25">
      <c r="C478" s="198" t="s">
        <v>452</v>
      </c>
      <c r="D478" s="177">
        <v>44859</v>
      </c>
      <c r="E478" s="178">
        <v>1.2</v>
      </c>
      <c r="F478" s="178">
        <v>1.1000000000000001</v>
      </c>
      <c r="G478" s="146"/>
      <c r="S478" s="197" t="s">
        <v>595</v>
      </c>
      <c r="T478" s="197"/>
      <c r="U478" s="145">
        <f>SUM(V469:X477)</f>
        <v>17</v>
      </c>
    </row>
    <row r="479" spans="2:24" s="135" customFormat="1" ht="18" customHeight="1" x14ac:dyDescent="0.25">
      <c r="C479" s="198"/>
      <c r="D479" s="177">
        <v>44859</v>
      </c>
      <c r="E479" s="178">
        <v>1.1000000000000001</v>
      </c>
      <c r="F479" s="178">
        <v>0.9</v>
      </c>
      <c r="G479" s="146"/>
      <c r="S479" s="197" t="s">
        <v>596</v>
      </c>
      <c r="T479" s="197"/>
      <c r="U479" s="145">
        <f>U478/D483*100</f>
        <v>94.444444444444443</v>
      </c>
      <c r="V479" s="135" t="s">
        <v>147</v>
      </c>
    </row>
    <row r="480" spans="2:24" s="135" customFormat="1" ht="18" customHeight="1" x14ac:dyDescent="0.25">
      <c r="C480" s="198"/>
      <c r="D480" s="177">
        <v>44859</v>
      </c>
      <c r="E480" s="178">
        <v>1</v>
      </c>
      <c r="F480" s="178">
        <v>1.1000000000000001</v>
      </c>
      <c r="G480" s="146"/>
    </row>
    <row r="481" spans="1:12" s="135" customFormat="1" ht="18" customHeight="1" x14ac:dyDescent="0.25">
      <c r="C481" s="155"/>
      <c r="D481" s="147" t="s">
        <v>597</v>
      </c>
      <c r="E481" s="156">
        <f>IF(ISERROR(_xlfn.STDEV.P(E472:E480)),"",_xlfn.STDEV.P(E472:E480))</f>
        <v>9.428090415820635E-2</v>
      </c>
      <c r="F481" s="156">
        <f>IF(ISERROR(_xlfn.STDEV.P(F472:F480)),"",_xlfn.STDEV.P(F472:F480))</f>
        <v>9.938079899999068E-2</v>
      </c>
      <c r="G481" s="156" t="str">
        <f>IF(ISERROR(_xlfn.STDEV.P(G472:G480)),"",_xlfn.STDEV.P(G472:G480))</f>
        <v/>
      </c>
    </row>
    <row r="482" spans="1:12" s="135" customFormat="1" ht="18" customHeight="1" x14ac:dyDescent="0.25">
      <c r="C482" s="155"/>
      <c r="E482" s="157">
        <f>IF(ISERROR(POWER(E481,2)),NA(),POWER(E481,2))</f>
        <v>8.8888888888888906E-3</v>
      </c>
      <c r="F482" s="157">
        <f>IF(ISERROR(POWER(F481,2)),NA(),POWER(F481,2))</f>
        <v>9.8765432098765482E-3</v>
      </c>
      <c r="G482" s="157" t="e">
        <f>IF(ISERROR(POWER(G481,2)),NA(),POWER(G481,2))</f>
        <v>#N/A</v>
      </c>
    </row>
    <row r="483" spans="1:12" s="135" customFormat="1" ht="18" customHeight="1" x14ac:dyDescent="0.25">
      <c r="B483" s="195" t="s">
        <v>583</v>
      </c>
      <c r="C483" s="195"/>
      <c r="D483" s="144">
        <f>COUNT(E472:G480)</f>
        <v>18</v>
      </c>
      <c r="F483" s="149" t="s">
        <v>584</v>
      </c>
      <c r="G483" s="158">
        <f>_xlfn.BINOM.INV($D483,0.95,0.05)</f>
        <v>15</v>
      </c>
    </row>
    <row r="484" spans="1:12" s="135" customFormat="1" ht="18" customHeight="1" x14ac:dyDescent="0.25">
      <c r="B484" s="195" t="s">
        <v>598</v>
      </c>
      <c r="C484" s="195"/>
      <c r="D484" s="145">
        <f>SQRT(SUMIF(E482:G482,"&lt;&gt;#N/A")/COUNTIF(E482:G482,"&lt;&gt;#N/A"))</f>
        <v>9.6864420967570544E-2</v>
      </c>
      <c r="F484" s="149" t="s">
        <v>586</v>
      </c>
      <c r="G484" s="150">
        <f>G483/D483</f>
        <v>0.83333333333333337</v>
      </c>
    </row>
    <row r="485" spans="1:12" s="135" customFormat="1" ht="18" customHeight="1" x14ac:dyDescent="0.25">
      <c r="A485" s="136"/>
      <c r="B485" s="136"/>
      <c r="C485" s="151" t="s">
        <v>599</v>
      </c>
      <c r="D485" s="145">
        <f>D441+G487*D484</f>
        <v>1.0620282652383688</v>
      </c>
      <c r="E485" s="135">
        <f>D432</f>
        <v>0</v>
      </c>
    </row>
    <row r="486" spans="1:12" s="135" customFormat="1" ht="18" customHeight="1" x14ac:dyDescent="0.25">
      <c r="A486" s="147"/>
      <c r="B486" s="147"/>
      <c r="C486" s="147"/>
      <c r="D486" s="143" t="str">
        <f>IF(U478&gt;=G483,"Pass","Fail")</f>
        <v>Pass</v>
      </c>
      <c r="F486" s="149" t="s">
        <v>439</v>
      </c>
      <c r="G486" s="146">
        <v>0.05</v>
      </c>
    </row>
    <row r="487" spans="1:12" s="135" customFormat="1" ht="18" customHeight="1" x14ac:dyDescent="0.25">
      <c r="A487" s="147"/>
      <c r="B487" s="147"/>
      <c r="C487" s="147"/>
      <c r="F487" s="149" t="s">
        <v>589</v>
      </c>
      <c r="G487" s="152">
        <f>_xlfn.NORM.INV(1-G486,0,1)/(1-(1/(4*((COUNT(E472:E480)-1)+(COUNT(F472:F480)-1)+(COUNT(G472:G480)-1)))))</f>
        <v>1.6727325019845474</v>
      </c>
    </row>
    <row r="488" spans="1:12" s="135" customFormat="1" ht="18" customHeight="1" x14ac:dyDescent="0.25">
      <c r="A488" s="147"/>
      <c r="B488" s="147"/>
      <c r="C488" s="147"/>
    </row>
    <row r="489" spans="1:12" s="135" customFormat="1" ht="18" customHeight="1" x14ac:dyDescent="0.25"/>
    <row r="490" spans="1:12" s="182" customFormat="1" ht="18" customHeight="1" x14ac:dyDescent="0.25">
      <c r="B490" s="183" t="s">
        <v>600</v>
      </c>
    </row>
    <row r="491" spans="1:12" s="139" customFormat="1" ht="18" customHeight="1" x14ac:dyDescent="0.25"/>
    <row r="492" spans="1:12" s="139" customFormat="1" ht="18" customHeight="1" x14ac:dyDescent="0.25">
      <c r="B492" s="201" t="s">
        <v>601</v>
      </c>
      <c r="C492" s="201"/>
      <c r="D492" s="179">
        <v>1.5</v>
      </c>
      <c r="E492" s="140" t="str">
        <f>G4</f>
        <v>ng/L</v>
      </c>
    </row>
    <row r="493" spans="1:12" s="139" customFormat="1" ht="18" customHeight="1" x14ac:dyDescent="0.25"/>
    <row r="494" spans="1:12" s="135" customFormat="1" ht="18" customHeight="1" x14ac:dyDescent="0.25"/>
    <row r="495" spans="1:12" s="135" customFormat="1" ht="18" customHeight="1" x14ac:dyDescent="0.25">
      <c r="C495" s="202" t="s">
        <v>602</v>
      </c>
      <c r="D495" s="202"/>
      <c r="E495" s="202"/>
      <c r="F495" s="202"/>
      <c r="G495" s="202"/>
    </row>
    <row r="496" spans="1:12" s="135" customFormat="1" ht="18" customHeight="1" x14ac:dyDescent="0.25">
      <c r="C496" s="202"/>
      <c r="D496" s="202"/>
      <c r="E496" s="202"/>
      <c r="F496" s="202"/>
      <c r="G496" s="202"/>
      <c r="J496" s="203" t="s">
        <v>603</v>
      </c>
      <c r="K496" s="203"/>
      <c r="L496" s="203"/>
    </row>
    <row r="497" spans="2:24" s="135" customFormat="1" ht="18" customHeight="1" x14ac:dyDescent="0.25">
      <c r="C497" s="143" t="s">
        <v>604</v>
      </c>
      <c r="D497" s="143" t="s">
        <v>575</v>
      </c>
      <c r="E497" s="143" t="s">
        <v>576</v>
      </c>
      <c r="F497" s="143" t="s">
        <v>577</v>
      </c>
      <c r="G497" s="143" t="s">
        <v>578</v>
      </c>
      <c r="J497" s="159" t="s">
        <v>576</v>
      </c>
      <c r="K497" s="159" t="s">
        <v>577</v>
      </c>
      <c r="L497" s="159" t="s">
        <v>578</v>
      </c>
      <c r="R497" s="203" t="s">
        <v>605</v>
      </c>
      <c r="S497" s="203"/>
      <c r="T497" s="203"/>
      <c r="V497" s="203" t="s">
        <v>606</v>
      </c>
      <c r="W497" s="203"/>
      <c r="X497" s="203"/>
    </row>
    <row r="498" spans="2:24" s="135" customFormat="1" ht="18" customHeight="1" x14ac:dyDescent="0.25">
      <c r="C498" s="198" t="s">
        <v>449</v>
      </c>
      <c r="D498" s="177">
        <v>44857</v>
      </c>
      <c r="E498" s="178">
        <v>14</v>
      </c>
      <c r="F498" s="178">
        <v>15</v>
      </c>
      <c r="G498" s="146"/>
      <c r="J498" s="152">
        <f t="shared" ref="J498:L506" si="48">IF(V498&lt;100,V498,"")</f>
        <v>8.0291970802919668</v>
      </c>
      <c r="K498" s="152">
        <f t="shared" si="48"/>
        <v>1.459854014598535</v>
      </c>
      <c r="L498" s="152" t="e">
        <f t="shared" si="48"/>
        <v>#VALUE!</v>
      </c>
      <c r="R498" s="145" t="str">
        <f>IF(AND(J498&lt;D516,J498&gt;0),1,"")</f>
        <v/>
      </c>
      <c r="S498" s="145">
        <f>IF(AND(K498&lt;D516,K498&gt;0),1,"")</f>
        <v>1</v>
      </c>
      <c r="T498" s="145" t="e">
        <f>IF(AND(L498&lt;D516,L498&gt;0),1,"")</f>
        <v>#VALUE!</v>
      </c>
      <c r="V498" s="145">
        <f>SQRT(POWER(((E507-E498)/E507)*100,2))</f>
        <v>8.0291970802919668</v>
      </c>
      <c r="W498" s="145">
        <f>SQRT(POWER(((F507-F498)/F507)*100,2))</f>
        <v>1.459854014598535</v>
      </c>
      <c r="X498" s="145" t="e">
        <f>SQRT(POWER(((G507-G498)/G507)*100,2))</f>
        <v>#VALUE!</v>
      </c>
    </row>
    <row r="499" spans="2:24" s="135" customFormat="1" ht="18" customHeight="1" x14ac:dyDescent="0.25">
      <c r="C499" s="198"/>
      <c r="D499" s="177">
        <v>44857</v>
      </c>
      <c r="E499" s="178">
        <v>13</v>
      </c>
      <c r="F499" s="178">
        <v>14</v>
      </c>
      <c r="G499" s="146"/>
      <c r="J499" s="152">
        <f t="shared" si="48"/>
        <v>14.598540145985398</v>
      </c>
      <c r="K499" s="152">
        <f t="shared" si="48"/>
        <v>8.0291970802919668</v>
      </c>
      <c r="L499" s="152" t="e">
        <f t="shared" si="48"/>
        <v>#VALUE!</v>
      </c>
      <c r="R499" s="145" t="str">
        <f>IF(AND(J499&lt;D516,J499&gt;0),1,"")</f>
        <v/>
      </c>
      <c r="S499" s="145" t="str">
        <f>IF(AND(K499&lt;D516,K499&gt;0),1,"")</f>
        <v/>
      </c>
      <c r="T499" s="145" t="e">
        <f>IF(AND(L499&lt;D516,L499&gt;0),1,"")</f>
        <v>#VALUE!</v>
      </c>
      <c r="V499" s="145">
        <f>SQRT(POWER(((E507-E499)/E507)*100,2))</f>
        <v>14.598540145985398</v>
      </c>
      <c r="W499" s="145">
        <f>SQRT(POWER(((F507-F499)/F507)*100,2))</f>
        <v>8.0291970802919668</v>
      </c>
      <c r="X499" s="145" t="e">
        <f>SQRT(POWER(((G507-G499)/G507)*100,2))</f>
        <v>#VALUE!</v>
      </c>
    </row>
    <row r="500" spans="2:24" s="135" customFormat="1" ht="18" customHeight="1" x14ac:dyDescent="0.25">
      <c r="C500" s="198"/>
      <c r="D500" s="177">
        <v>44857</v>
      </c>
      <c r="E500" s="178">
        <v>15</v>
      </c>
      <c r="F500" s="178">
        <v>16</v>
      </c>
      <c r="G500" s="146"/>
      <c r="J500" s="152">
        <f t="shared" si="48"/>
        <v>1.459854014598535</v>
      </c>
      <c r="K500" s="152">
        <f t="shared" si="48"/>
        <v>5.1094890510948963</v>
      </c>
      <c r="L500" s="152" t="e">
        <f t="shared" si="48"/>
        <v>#VALUE!</v>
      </c>
      <c r="R500" s="145">
        <f>IF(AND(J500&lt;D516,J500&gt;0),1,"")</f>
        <v>1</v>
      </c>
      <c r="S500" s="145">
        <f>IF(AND(K500&lt;D516,K500&gt;0),1,"")</f>
        <v>1</v>
      </c>
      <c r="T500" s="145" t="e">
        <f>IF(AND(L500&lt;D516,L500&gt;0),1,"")</f>
        <v>#VALUE!</v>
      </c>
      <c r="V500" s="145">
        <f>SQRT(POWER(((E507-E500)/E507)*100,2))</f>
        <v>1.459854014598535</v>
      </c>
      <c r="W500" s="145">
        <f>SQRT(POWER(((F507-F500)/F507)*100,2))</f>
        <v>5.1094890510948963</v>
      </c>
      <c r="X500" s="145" t="e">
        <f>SQRT(POWER(((G507-G500)/G507)*100,2))</f>
        <v>#VALUE!</v>
      </c>
    </row>
    <row r="501" spans="2:24" s="135" customFormat="1" ht="18" customHeight="1" x14ac:dyDescent="0.25">
      <c r="C501" s="198" t="s">
        <v>451</v>
      </c>
      <c r="D501" s="177">
        <v>44858</v>
      </c>
      <c r="E501" s="178">
        <v>16</v>
      </c>
      <c r="F501" s="178">
        <v>15</v>
      </c>
      <c r="G501" s="146"/>
      <c r="J501" s="152">
        <f t="shared" si="48"/>
        <v>5.1094890510948963</v>
      </c>
      <c r="K501" s="152">
        <f t="shared" si="48"/>
        <v>1.459854014598535</v>
      </c>
      <c r="L501" s="152" t="e">
        <f t="shared" si="48"/>
        <v>#VALUE!</v>
      </c>
      <c r="R501" s="145">
        <f>IF(AND(J501&lt;D516,J501&gt;0),1,"")</f>
        <v>1</v>
      </c>
      <c r="S501" s="145">
        <f>IF(AND(K501&lt;D516,K501&gt;0),1,"")</f>
        <v>1</v>
      </c>
      <c r="T501" s="145" t="e">
        <f>IF(AND(L501&lt;D516,L501&gt;0),1,"")</f>
        <v>#VALUE!</v>
      </c>
      <c r="V501" s="145">
        <f>SQRT(POWER(((E507-E501)/E507)*100,2))</f>
        <v>5.1094890510948963</v>
      </c>
      <c r="W501" s="145">
        <f>SQRT(POWER(((F507-F501)/F507)*100,2))</f>
        <v>1.459854014598535</v>
      </c>
      <c r="X501" s="145" t="e">
        <f>SQRT(POWER(((G507-G501)/G507)*100,2))</f>
        <v>#VALUE!</v>
      </c>
    </row>
    <row r="502" spans="2:24" s="135" customFormat="1" ht="18" customHeight="1" x14ac:dyDescent="0.25">
      <c r="C502" s="198"/>
      <c r="D502" s="177">
        <v>44858</v>
      </c>
      <c r="E502" s="178">
        <v>15</v>
      </c>
      <c r="F502" s="178">
        <v>16</v>
      </c>
      <c r="G502" s="146"/>
      <c r="J502" s="152">
        <f t="shared" si="48"/>
        <v>1.459854014598535</v>
      </c>
      <c r="K502" s="152">
        <f t="shared" si="48"/>
        <v>5.1094890510948963</v>
      </c>
      <c r="L502" s="152" t="e">
        <f t="shared" si="48"/>
        <v>#VALUE!</v>
      </c>
      <c r="R502" s="145">
        <f>IF(AND(J502&lt;D516,J502&gt;0),1,"")</f>
        <v>1</v>
      </c>
      <c r="S502" s="145">
        <f>IF(AND(K502&lt;D516,K502&gt;0),1,"")</f>
        <v>1</v>
      </c>
      <c r="T502" s="145" t="e">
        <f>IF(AND(L502&lt;D516,L502&gt;0),1,"")</f>
        <v>#VALUE!</v>
      </c>
      <c r="V502" s="145">
        <f>SQRT(POWER(((E507-E502)/E507)*100,2))</f>
        <v>1.459854014598535</v>
      </c>
      <c r="W502" s="145">
        <f>SQRT(POWER(((F507-F502)/F507)*100,2))</f>
        <v>5.1094890510948963</v>
      </c>
      <c r="X502" s="145" t="e">
        <f>SQRT(POWER(((G507-G502)/G507)*100,2))</f>
        <v>#VALUE!</v>
      </c>
    </row>
    <row r="503" spans="2:24" s="135" customFormat="1" ht="18" customHeight="1" x14ac:dyDescent="0.25">
      <c r="C503" s="198"/>
      <c r="D503" s="177">
        <v>44858</v>
      </c>
      <c r="E503" s="178">
        <v>17</v>
      </c>
      <c r="F503" s="178">
        <v>14</v>
      </c>
      <c r="G503" s="146"/>
      <c r="J503" s="152">
        <f t="shared" si="48"/>
        <v>11.678832116788326</v>
      </c>
      <c r="K503" s="152">
        <f t="shared" si="48"/>
        <v>8.0291970802919668</v>
      </c>
      <c r="L503" s="152" t="e">
        <f t="shared" si="48"/>
        <v>#VALUE!</v>
      </c>
      <c r="R503" s="145" t="str">
        <f>IF(AND(J503&lt;D516,J503&gt;0),1,"")</f>
        <v/>
      </c>
      <c r="S503" s="145" t="str">
        <f>IF(AND(K503&lt;D516,K503&gt;0),1,"")</f>
        <v/>
      </c>
      <c r="T503" s="145" t="e">
        <f>IF(AND(L503&lt;D516,L503&gt;0),1,"")</f>
        <v>#VALUE!</v>
      </c>
      <c r="V503" s="145">
        <f>SQRT(POWER(((E507-E503)/E507)*100,2))</f>
        <v>11.678832116788326</v>
      </c>
      <c r="W503" s="145">
        <f>SQRT(POWER(((F507-F503)/F507)*100,2))</f>
        <v>8.0291970802919668</v>
      </c>
      <c r="X503" s="145" t="e">
        <f>SQRT(POWER(((G507-G503)/G507)*100,2))</f>
        <v>#VALUE!</v>
      </c>
    </row>
    <row r="504" spans="2:24" s="135" customFormat="1" ht="18" customHeight="1" x14ac:dyDescent="0.25">
      <c r="C504" s="198" t="s">
        <v>452</v>
      </c>
      <c r="D504" s="177">
        <v>44859</v>
      </c>
      <c r="E504" s="178">
        <v>15</v>
      </c>
      <c r="F504" s="178">
        <v>16</v>
      </c>
      <c r="G504" s="146"/>
      <c r="J504" s="152">
        <f t="shared" si="48"/>
        <v>1.459854014598535</v>
      </c>
      <c r="K504" s="152">
        <f t="shared" si="48"/>
        <v>5.1094890510948963</v>
      </c>
      <c r="L504" s="152" t="e">
        <f t="shared" si="48"/>
        <v>#VALUE!</v>
      </c>
      <c r="R504" s="145">
        <f>IF(AND(J504&lt;D516,J504&gt;0),1,"")</f>
        <v>1</v>
      </c>
      <c r="S504" s="145">
        <f>IF(AND(K504&lt;D516,K504&gt;0),1,"")</f>
        <v>1</v>
      </c>
      <c r="T504" s="145" t="e">
        <f>IF(AND(L504&lt;D516,L504&gt;0),1,"")</f>
        <v>#VALUE!</v>
      </c>
      <c r="V504" s="145">
        <f>SQRT(POWER(((E507-E504)/E507)*100,2))</f>
        <v>1.459854014598535</v>
      </c>
      <c r="W504" s="145">
        <f>SQRT(POWER(((F507-F504)/F507)*100,2))</f>
        <v>5.1094890510948963</v>
      </c>
      <c r="X504" s="145" t="e">
        <f>SQRT(POWER(((G507-G504)/G507)*100,2))</f>
        <v>#VALUE!</v>
      </c>
    </row>
    <row r="505" spans="2:24" s="135" customFormat="1" ht="18" customHeight="1" x14ac:dyDescent="0.25">
      <c r="C505" s="198"/>
      <c r="D505" s="177">
        <v>44859</v>
      </c>
      <c r="E505" s="178">
        <v>14</v>
      </c>
      <c r="F505" s="178">
        <v>15</v>
      </c>
      <c r="G505" s="146"/>
      <c r="J505" s="152">
        <f t="shared" si="48"/>
        <v>8.0291970802919668</v>
      </c>
      <c r="K505" s="152">
        <f t="shared" si="48"/>
        <v>1.459854014598535</v>
      </c>
      <c r="L505" s="152" t="e">
        <f t="shared" si="48"/>
        <v>#VALUE!</v>
      </c>
      <c r="R505" s="145" t="str">
        <f>IF(AND(J505&lt;D516,J505&gt;0),1,"")</f>
        <v/>
      </c>
      <c r="S505" s="145">
        <f>IF(AND(K505&lt;D516,K505&gt;0),1,"")</f>
        <v>1</v>
      </c>
      <c r="T505" s="145" t="e">
        <f>IF(AND(L505&lt;D516,L505&gt;0),1,"")</f>
        <v>#VALUE!</v>
      </c>
      <c r="V505" s="145">
        <f>SQRT(POWER(((E507-E505)/E507)*100,2))</f>
        <v>8.0291970802919668</v>
      </c>
      <c r="W505" s="145">
        <f>SQRT(POWER(((F507-F505)/F507)*100,2))</f>
        <v>1.459854014598535</v>
      </c>
      <c r="X505" s="145" t="e">
        <f>SQRT(POWER(((G507-G505)/G507)*100,2))</f>
        <v>#VALUE!</v>
      </c>
    </row>
    <row r="506" spans="2:24" s="135" customFormat="1" ht="18" customHeight="1" x14ac:dyDescent="0.25">
      <c r="C506" s="198"/>
      <c r="D506" s="177">
        <v>44859</v>
      </c>
      <c r="E506" s="178">
        <v>18</v>
      </c>
      <c r="F506" s="178">
        <v>16</v>
      </c>
      <c r="G506" s="146"/>
      <c r="J506" s="152">
        <f t="shared" si="48"/>
        <v>18.248175182481756</v>
      </c>
      <c r="K506" s="152">
        <f t="shared" si="48"/>
        <v>5.1094890510948963</v>
      </c>
      <c r="L506" s="152" t="e">
        <f t="shared" si="48"/>
        <v>#VALUE!</v>
      </c>
      <c r="R506" s="145" t="str">
        <f>IF(AND(J506&lt;D516,J506&gt;0),1,"")</f>
        <v/>
      </c>
      <c r="S506" s="145">
        <f>IF(AND(K506&lt;D516,K506&gt;0),1,"")</f>
        <v>1</v>
      </c>
      <c r="T506" s="145" t="e">
        <f>IF(AND(L506&lt;D516,L506&gt;0),1,"")</f>
        <v>#VALUE!</v>
      </c>
      <c r="V506" s="145">
        <f>SQRT(POWER(((E507-E506)/E507)*100,2))</f>
        <v>18.248175182481756</v>
      </c>
      <c r="W506" s="145">
        <f>SQRT(POWER(((F507-F506)/F507)*100,2))</f>
        <v>5.1094890510948963</v>
      </c>
      <c r="X506" s="145" t="e">
        <f>SQRT(POWER(((G507-G506)/G507)*100,2))</f>
        <v>#VALUE!</v>
      </c>
    </row>
    <row r="507" spans="2:24" s="135" customFormat="1" ht="18" customHeight="1" x14ac:dyDescent="0.25">
      <c r="C507" s="199" t="s">
        <v>607</v>
      </c>
      <c r="D507" s="199"/>
      <c r="E507" s="160">
        <f>IF(ISERROR(AVERAGE(E498:E506)),"",AVERAGE(E498:E506))</f>
        <v>15.222222222222221</v>
      </c>
      <c r="F507" s="160">
        <f>IF(ISERROR(AVERAGE(F498:F506)),"",AVERAGE(F498:F506))</f>
        <v>15.222222222222221</v>
      </c>
      <c r="G507" s="160" t="str">
        <f>IF(ISERROR(AVERAGE(G498:G506)),"",AVERAGE(G498:G506))</f>
        <v/>
      </c>
      <c r="O507" s="200" t="s">
        <v>608</v>
      </c>
      <c r="P507" s="200"/>
      <c r="Q507" s="145">
        <f>COUNT(R498:T506)</f>
        <v>11</v>
      </c>
    </row>
    <row r="508" spans="2:24" s="135" customFormat="1" ht="18" customHeight="1" x14ac:dyDescent="0.25">
      <c r="D508" s="161" t="s">
        <v>597</v>
      </c>
      <c r="E508" s="160">
        <f>IF(ISERROR(_xlfn.STDEV.P(E498:E506)),"",_xlfn.STDEV.P(E498:E506))</f>
        <v>1.4740554623801776</v>
      </c>
      <c r="F508" s="160">
        <f>IF(ISERROR(_xlfn.STDEV.P(F498:F506)),"",_xlfn.STDEV.P(F498:F506))</f>
        <v>0.78567420131838606</v>
      </c>
      <c r="G508" s="160" t="str">
        <f>IF(ISERROR(_xlfn.STDEV.P(G498:G506)),"",_xlfn.STDEV.P(G498:G506))</f>
        <v/>
      </c>
      <c r="O508" s="200" t="s">
        <v>609</v>
      </c>
      <c r="P508" s="200"/>
      <c r="Q508" s="148">
        <f>Q507/D512*100</f>
        <v>61.111111111111114</v>
      </c>
    </row>
    <row r="509" spans="2:24" s="135" customFormat="1" ht="18" customHeight="1" x14ac:dyDescent="0.25">
      <c r="D509" s="161" t="s">
        <v>610</v>
      </c>
      <c r="E509" s="162">
        <f>IF(ISERROR(E508/E507),"",E508/E507)</f>
        <v>9.6835760302347432E-2</v>
      </c>
      <c r="F509" s="162">
        <f>IF(ISERROR(F508/F507),"",F508/F507)</f>
        <v>5.161363366325164E-2</v>
      </c>
      <c r="G509" s="162" t="str">
        <f>IF(ISERROR(G508/G507),"",G508/G507)</f>
        <v/>
      </c>
    </row>
    <row r="510" spans="2:24" s="135" customFormat="1" ht="18" customHeight="1" x14ac:dyDescent="0.25">
      <c r="D510" s="161"/>
      <c r="V510" s="196"/>
      <c r="W510" s="196"/>
      <c r="X510" s="196"/>
    </row>
    <row r="511" spans="2:24" s="135" customFormat="1" ht="18" customHeight="1" x14ac:dyDescent="0.25">
      <c r="D511" s="161"/>
    </row>
    <row r="512" spans="2:24" s="135" customFormat="1" ht="18" customHeight="1" x14ac:dyDescent="0.25">
      <c r="B512" s="195" t="s">
        <v>583</v>
      </c>
      <c r="C512" s="195"/>
      <c r="D512" s="144">
        <f>COUNT(E498:G506)</f>
        <v>18</v>
      </c>
      <c r="F512" s="149" t="s">
        <v>584</v>
      </c>
      <c r="G512" s="145">
        <f>_xlfn.BINOM.INV($D512,0.95,0.05)</f>
        <v>15</v>
      </c>
    </row>
    <row r="513" spans="1:7" s="135" customFormat="1" ht="18" customHeight="1" x14ac:dyDescent="0.25">
      <c r="B513" s="195" t="s">
        <v>611</v>
      </c>
      <c r="C513" s="195"/>
      <c r="D513" s="144">
        <f>COUNT(E509:G509)</f>
        <v>2</v>
      </c>
      <c r="F513" s="149" t="s">
        <v>586</v>
      </c>
      <c r="G513" s="150">
        <f>G512/D512</f>
        <v>0.83333333333333337</v>
      </c>
    </row>
    <row r="514" spans="1:7" s="135" customFormat="1" ht="18" customHeight="1" x14ac:dyDescent="0.25">
      <c r="A514" s="195" t="s">
        <v>612</v>
      </c>
      <c r="B514" s="195"/>
      <c r="C514" s="195"/>
      <c r="D514" s="156">
        <f>AVERAGE(E507:G507)</f>
        <v>15.222222222222221</v>
      </c>
    </row>
    <row r="515" spans="1:7" s="135" customFormat="1" ht="18" customHeight="1" x14ac:dyDescent="0.25">
      <c r="A515" s="196"/>
      <c r="B515" s="196"/>
      <c r="C515" s="196"/>
      <c r="D515" s="136"/>
      <c r="F515" s="149" t="s">
        <v>439</v>
      </c>
      <c r="G515" s="146">
        <v>0.05</v>
      </c>
    </row>
    <row r="516" spans="1:7" s="135" customFormat="1" ht="18" customHeight="1" x14ac:dyDescent="0.25">
      <c r="B516" s="197" t="s">
        <v>613</v>
      </c>
      <c r="C516" s="197"/>
      <c r="D516" s="163">
        <f>IF(ISNUMBER(G358),G358*100,"")</f>
        <v>5.5034427846292306</v>
      </c>
      <c r="E516" s="135" t="s">
        <v>147</v>
      </c>
      <c r="F516" s="149" t="s">
        <v>589</v>
      </c>
      <c r="G516" s="152">
        <f>_xlfn.NORM.INV(1-G515,0,1)/(1-(1/(4*((COUNT(E498:E506)-1)+(COUNT(F498:F506)-1)+(COUNT(G498:G506)-1)))))</f>
        <v>1.6727325019845474</v>
      </c>
    </row>
    <row r="517" spans="1:7" s="135" customFormat="1" ht="18" customHeight="1" x14ac:dyDescent="0.25">
      <c r="D517" s="143" t="str">
        <f>IF(Q507&gt;=G512,"Pass","Fail")</f>
        <v>Fail</v>
      </c>
    </row>
    <row r="518" spans="1:7" s="135" customFormat="1" ht="18" customHeight="1" x14ac:dyDescent="0.25"/>
  </sheetData>
  <sheetProtection sheet="1" scenarios="1"/>
  <protectedRanges>
    <protectedRange sqref="J61:L160" name="Apply Inclusion and Exclusion Criteria"/>
  </protectedRanges>
  <dataConsolidate/>
  <mergeCells count="336">
    <mergeCell ref="B16:E16"/>
    <mergeCell ref="B19:J25"/>
    <mergeCell ref="B28:J30"/>
    <mergeCell ref="B33:E33"/>
    <mergeCell ref="I33:J33"/>
    <mergeCell ref="B36:C36"/>
    <mergeCell ref="B4:E4"/>
    <mergeCell ref="B6:C6"/>
    <mergeCell ref="B8:H8"/>
    <mergeCell ref="B10:H10"/>
    <mergeCell ref="B12:E12"/>
    <mergeCell ref="B14:E14"/>
    <mergeCell ref="B56:C56"/>
    <mergeCell ref="D56:F56"/>
    <mergeCell ref="G56:I56"/>
    <mergeCell ref="D59:F59"/>
    <mergeCell ref="G59:I59"/>
    <mergeCell ref="B60:C60"/>
    <mergeCell ref="B41:H41"/>
    <mergeCell ref="B43:H43"/>
    <mergeCell ref="B45:E45"/>
    <mergeCell ref="D54:F54"/>
    <mergeCell ref="G54:I54"/>
    <mergeCell ref="B55:C55"/>
    <mergeCell ref="D55:F55"/>
    <mergeCell ref="G55:I55"/>
    <mergeCell ref="B64:C64"/>
    <mergeCell ref="K64:M64"/>
    <mergeCell ref="B65:C65"/>
    <mergeCell ref="K65:M65"/>
    <mergeCell ref="B66:C66"/>
    <mergeCell ref="K66:M66"/>
    <mergeCell ref="K60:M60"/>
    <mergeCell ref="B61:C61"/>
    <mergeCell ref="K61:M61"/>
    <mergeCell ref="B62:C62"/>
    <mergeCell ref="K62:M62"/>
    <mergeCell ref="B63:C63"/>
    <mergeCell ref="K63:M63"/>
    <mergeCell ref="B70:C70"/>
    <mergeCell ref="K70:M70"/>
    <mergeCell ref="B71:C71"/>
    <mergeCell ref="K71:M71"/>
    <mergeCell ref="B72:C72"/>
    <mergeCell ref="K72:M72"/>
    <mergeCell ref="B67:C67"/>
    <mergeCell ref="K67:M67"/>
    <mergeCell ref="B68:C68"/>
    <mergeCell ref="K68:M68"/>
    <mergeCell ref="B69:C69"/>
    <mergeCell ref="K69:M69"/>
    <mergeCell ref="B76:C76"/>
    <mergeCell ref="K76:M76"/>
    <mergeCell ref="B77:C77"/>
    <mergeCell ref="K77:M77"/>
    <mergeCell ref="B78:C78"/>
    <mergeCell ref="K78:M78"/>
    <mergeCell ref="B73:C73"/>
    <mergeCell ref="K73:M73"/>
    <mergeCell ref="B74:C74"/>
    <mergeCell ref="K74:M74"/>
    <mergeCell ref="B75:C75"/>
    <mergeCell ref="K75:M75"/>
    <mergeCell ref="B82:C82"/>
    <mergeCell ref="K82:M82"/>
    <mergeCell ref="B83:C83"/>
    <mergeCell ref="K83:M83"/>
    <mergeCell ref="B84:C84"/>
    <mergeCell ref="K84:M84"/>
    <mergeCell ref="B79:C79"/>
    <mergeCell ref="K79:M79"/>
    <mergeCell ref="B80:C80"/>
    <mergeCell ref="K80:M80"/>
    <mergeCell ref="B81:C81"/>
    <mergeCell ref="K81:M81"/>
    <mergeCell ref="B88:C88"/>
    <mergeCell ref="K88:M88"/>
    <mergeCell ref="B89:C89"/>
    <mergeCell ref="K89:M89"/>
    <mergeCell ref="B90:C90"/>
    <mergeCell ref="K90:M90"/>
    <mergeCell ref="B85:C85"/>
    <mergeCell ref="K85:M85"/>
    <mergeCell ref="B86:C86"/>
    <mergeCell ref="K86:M86"/>
    <mergeCell ref="B87:C87"/>
    <mergeCell ref="K87:M87"/>
    <mergeCell ref="B94:C94"/>
    <mergeCell ref="K94:M94"/>
    <mergeCell ref="B95:C95"/>
    <mergeCell ref="K95:M95"/>
    <mergeCell ref="B96:C96"/>
    <mergeCell ref="K96:M96"/>
    <mergeCell ref="B91:C91"/>
    <mergeCell ref="K91:M91"/>
    <mergeCell ref="B92:C92"/>
    <mergeCell ref="K92:M92"/>
    <mergeCell ref="B93:C93"/>
    <mergeCell ref="K93:M93"/>
    <mergeCell ref="B100:C100"/>
    <mergeCell ref="K100:M100"/>
    <mergeCell ref="B101:C101"/>
    <mergeCell ref="K101:M101"/>
    <mergeCell ref="B102:C102"/>
    <mergeCell ref="K102:M102"/>
    <mergeCell ref="B97:C97"/>
    <mergeCell ref="K97:M97"/>
    <mergeCell ref="B98:C98"/>
    <mergeCell ref="K98:M98"/>
    <mergeCell ref="B99:C99"/>
    <mergeCell ref="K99:M99"/>
    <mergeCell ref="B106:C106"/>
    <mergeCell ref="K106:M106"/>
    <mergeCell ref="B107:C107"/>
    <mergeCell ref="K107:M107"/>
    <mergeCell ref="B108:C108"/>
    <mergeCell ref="K108:M108"/>
    <mergeCell ref="B103:C103"/>
    <mergeCell ref="K103:M103"/>
    <mergeCell ref="B104:C104"/>
    <mergeCell ref="K104:M104"/>
    <mergeCell ref="B105:C105"/>
    <mergeCell ref="K105:M105"/>
    <mergeCell ref="B112:C112"/>
    <mergeCell ref="K112:M112"/>
    <mergeCell ref="B113:C113"/>
    <mergeCell ref="K113:M113"/>
    <mergeCell ref="B114:C114"/>
    <mergeCell ref="K114:M114"/>
    <mergeCell ref="B109:C109"/>
    <mergeCell ref="K109:M109"/>
    <mergeCell ref="B110:C110"/>
    <mergeCell ref="K110:M110"/>
    <mergeCell ref="B111:C111"/>
    <mergeCell ref="K111:M111"/>
    <mergeCell ref="B118:C118"/>
    <mergeCell ref="K118:M118"/>
    <mergeCell ref="B119:C119"/>
    <mergeCell ref="K119:M119"/>
    <mergeCell ref="B120:C120"/>
    <mergeCell ref="K120:M120"/>
    <mergeCell ref="B115:C115"/>
    <mergeCell ref="K115:M115"/>
    <mergeCell ref="B116:C116"/>
    <mergeCell ref="K116:M116"/>
    <mergeCell ref="B117:C117"/>
    <mergeCell ref="K117:M117"/>
    <mergeCell ref="B124:C124"/>
    <mergeCell ref="K124:M124"/>
    <mergeCell ref="B125:C125"/>
    <mergeCell ref="K125:M125"/>
    <mergeCell ref="B126:C126"/>
    <mergeCell ref="K126:M126"/>
    <mergeCell ref="B121:C121"/>
    <mergeCell ref="K121:M121"/>
    <mergeCell ref="B122:C122"/>
    <mergeCell ref="K122:M122"/>
    <mergeCell ref="B123:C123"/>
    <mergeCell ref="K123:M123"/>
    <mergeCell ref="B130:C130"/>
    <mergeCell ref="K130:M130"/>
    <mergeCell ref="B131:C131"/>
    <mergeCell ref="K131:M131"/>
    <mergeCell ref="B132:C132"/>
    <mergeCell ref="K132:M132"/>
    <mergeCell ref="B127:C127"/>
    <mergeCell ref="K127:M127"/>
    <mergeCell ref="B128:C128"/>
    <mergeCell ref="K128:M128"/>
    <mergeCell ref="B129:C129"/>
    <mergeCell ref="K129:M129"/>
    <mergeCell ref="B136:C136"/>
    <mergeCell ref="K136:M136"/>
    <mergeCell ref="B137:C137"/>
    <mergeCell ref="K137:M137"/>
    <mergeCell ref="B138:C138"/>
    <mergeCell ref="K138:M138"/>
    <mergeCell ref="B133:C133"/>
    <mergeCell ref="K133:M133"/>
    <mergeCell ref="B134:C134"/>
    <mergeCell ref="K134:M134"/>
    <mergeCell ref="B135:C135"/>
    <mergeCell ref="K135:M135"/>
    <mergeCell ref="B142:C142"/>
    <mergeCell ref="K142:M142"/>
    <mergeCell ref="B143:C143"/>
    <mergeCell ref="K143:M143"/>
    <mergeCell ref="B144:C144"/>
    <mergeCell ref="K144:M144"/>
    <mergeCell ref="B139:C139"/>
    <mergeCell ref="K139:M139"/>
    <mergeCell ref="B140:C140"/>
    <mergeCell ref="K140:M140"/>
    <mergeCell ref="B141:C141"/>
    <mergeCell ref="K141:M141"/>
    <mergeCell ref="B148:C148"/>
    <mergeCell ref="K148:M148"/>
    <mergeCell ref="B149:C149"/>
    <mergeCell ref="K149:M149"/>
    <mergeCell ref="B150:C150"/>
    <mergeCell ref="K150:M150"/>
    <mergeCell ref="B145:C145"/>
    <mergeCell ref="K145:M145"/>
    <mergeCell ref="B146:C146"/>
    <mergeCell ref="K146:M146"/>
    <mergeCell ref="B147:C147"/>
    <mergeCell ref="K147:M147"/>
    <mergeCell ref="B154:C154"/>
    <mergeCell ref="K154:M154"/>
    <mergeCell ref="B155:C155"/>
    <mergeCell ref="K155:M155"/>
    <mergeCell ref="B156:C156"/>
    <mergeCell ref="K156:M156"/>
    <mergeCell ref="B151:C151"/>
    <mergeCell ref="K151:M151"/>
    <mergeCell ref="B152:C152"/>
    <mergeCell ref="K152:M152"/>
    <mergeCell ref="B153:C153"/>
    <mergeCell ref="K153:M153"/>
    <mergeCell ref="B160:C160"/>
    <mergeCell ref="K160:M160"/>
    <mergeCell ref="B198:H198"/>
    <mergeCell ref="B200:C200"/>
    <mergeCell ref="B202:E202"/>
    <mergeCell ref="B204:E204"/>
    <mergeCell ref="B157:C157"/>
    <mergeCell ref="K157:M157"/>
    <mergeCell ref="B158:C158"/>
    <mergeCell ref="K158:M158"/>
    <mergeCell ref="B159:C159"/>
    <mergeCell ref="K159:M159"/>
    <mergeCell ref="G210:G212"/>
    <mergeCell ref="H210:H212"/>
    <mergeCell ref="B238:H238"/>
    <mergeCell ref="B240:C240"/>
    <mergeCell ref="B242:E242"/>
    <mergeCell ref="B244:E244"/>
    <mergeCell ref="B206:E206"/>
    <mergeCell ref="B210:B212"/>
    <mergeCell ref="C210:C212"/>
    <mergeCell ref="D210:D212"/>
    <mergeCell ref="E210:E212"/>
    <mergeCell ref="F210:F212"/>
    <mergeCell ref="G250:G251"/>
    <mergeCell ref="H250:H251"/>
    <mergeCell ref="I250:I251"/>
    <mergeCell ref="B284:D284"/>
    <mergeCell ref="D285:F285"/>
    <mergeCell ref="B286:D286"/>
    <mergeCell ref="B246:E246"/>
    <mergeCell ref="B250:B251"/>
    <mergeCell ref="C250:C251"/>
    <mergeCell ref="D250:D251"/>
    <mergeCell ref="E250:E251"/>
    <mergeCell ref="F250:F251"/>
    <mergeCell ref="B441:C441"/>
    <mergeCell ref="C443:G444"/>
    <mergeCell ref="J444:Q444"/>
    <mergeCell ref="V444:X444"/>
    <mergeCell ref="J445:M445"/>
    <mergeCell ref="N445:Q445"/>
    <mergeCell ref="B288:D288"/>
    <mergeCell ref="B290:D290"/>
    <mergeCell ref="B373:M376"/>
    <mergeCell ref="B435:C435"/>
    <mergeCell ref="E435:F435"/>
    <mergeCell ref="B437:C437"/>
    <mergeCell ref="E437:F437"/>
    <mergeCell ref="C449:C451"/>
    <mergeCell ref="J449:M449"/>
    <mergeCell ref="N449:Q449"/>
    <mergeCell ref="J450:M450"/>
    <mergeCell ref="N450:Q450"/>
    <mergeCell ref="J451:M451"/>
    <mergeCell ref="N451:Q451"/>
    <mergeCell ref="C446:C448"/>
    <mergeCell ref="J446:M446"/>
    <mergeCell ref="N446:Q446"/>
    <mergeCell ref="J447:M447"/>
    <mergeCell ref="N447:Q447"/>
    <mergeCell ref="J448:M448"/>
    <mergeCell ref="N448:Q448"/>
    <mergeCell ref="B457:C457"/>
    <mergeCell ref="J457:M457"/>
    <mergeCell ref="N457:Q457"/>
    <mergeCell ref="B458:C458"/>
    <mergeCell ref="J458:M458"/>
    <mergeCell ref="N458:Q458"/>
    <mergeCell ref="S454:T454"/>
    <mergeCell ref="J455:M455"/>
    <mergeCell ref="N455:Q455"/>
    <mergeCell ref="S455:T455"/>
    <mergeCell ref="J456:M456"/>
    <mergeCell ref="N456:Q456"/>
    <mergeCell ref="C452:C454"/>
    <mergeCell ref="J452:M452"/>
    <mergeCell ref="N452:Q452"/>
    <mergeCell ref="J453:M453"/>
    <mergeCell ref="N453:Q453"/>
    <mergeCell ref="J454:M454"/>
    <mergeCell ref="N454:Q454"/>
    <mergeCell ref="J461:M461"/>
    <mergeCell ref="N461:Q461"/>
    <mergeCell ref="B467:C467"/>
    <mergeCell ref="V468:X468"/>
    <mergeCell ref="C469:G470"/>
    <mergeCell ref="C472:C474"/>
    <mergeCell ref="B459:C459"/>
    <mergeCell ref="J459:M459"/>
    <mergeCell ref="N459:Q459"/>
    <mergeCell ref="A460:C460"/>
    <mergeCell ref="J460:M460"/>
    <mergeCell ref="N460:Q460"/>
    <mergeCell ref="V510:X510"/>
    <mergeCell ref="B492:C492"/>
    <mergeCell ref="C495:G496"/>
    <mergeCell ref="J496:L496"/>
    <mergeCell ref="R497:T497"/>
    <mergeCell ref="V497:X497"/>
    <mergeCell ref="C498:C500"/>
    <mergeCell ref="C475:C477"/>
    <mergeCell ref="C478:C480"/>
    <mergeCell ref="S478:T478"/>
    <mergeCell ref="S479:T479"/>
    <mergeCell ref="B483:C483"/>
    <mergeCell ref="B484:C484"/>
    <mergeCell ref="B512:C512"/>
    <mergeCell ref="B513:C513"/>
    <mergeCell ref="A514:C514"/>
    <mergeCell ref="A515:C515"/>
    <mergeCell ref="B516:C516"/>
    <mergeCell ref="C501:C503"/>
    <mergeCell ref="C504:C506"/>
    <mergeCell ref="C507:D507"/>
    <mergeCell ref="O507:P507"/>
    <mergeCell ref="O508:P508"/>
  </mergeCells>
  <conditionalFormatting sqref="D169">
    <cfRule type="cellIs" dxfId="35" priority="29" operator="greaterThan">
      <formula>1.1</formula>
    </cfRule>
    <cfRule type="cellIs" dxfId="34" priority="28" operator="lessThan">
      <formula>0.9</formula>
    </cfRule>
    <cfRule type="cellIs" dxfId="33" priority="27" operator="between">
      <formula>0.9</formula>
      <formula>1.1</formula>
    </cfRule>
  </conditionalFormatting>
  <conditionalFormatting sqref="D186">
    <cfRule type="cellIs" dxfId="32" priority="1" operator="greaterThan">
      <formula>0.85</formula>
    </cfRule>
  </conditionalFormatting>
  <conditionalFormatting sqref="D355:D356">
    <cfRule type="containsErrors" dxfId="31" priority="14">
      <formula>ISERROR(D355)</formula>
    </cfRule>
  </conditionalFormatting>
  <conditionalFormatting sqref="D426">
    <cfRule type="cellIs" dxfId="30" priority="8" operator="equal">
      <formula>"Fail"</formula>
    </cfRule>
    <cfRule type="cellIs" dxfId="29" priority="9" operator="equal">
      <formula>"Pass"</formula>
    </cfRule>
  </conditionalFormatting>
  <conditionalFormatting sqref="D461">
    <cfRule type="expression" dxfId="28" priority="4">
      <formula>#REF!="pass"</formula>
    </cfRule>
    <cfRule type="expression" dxfId="27" priority="5">
      <formula>#REF!="fail"</formula>
    </cfRule>
  </conditionalFormatting>
  <conditionalFormatting sqref="D486">
    <cfRule type="expression" dxfId="26" priority="2">
      <formula>$D$40="Fail"</formula>
    </cfRule>
    <cfRule type="expression" dxfId="25" priority="3">
      <formula>$D$40="Pass"</formula>
    </cfRule>
  </conditionalFormatting>
  <conditionalFormatting sqref="D517">
    <cfRule type="expression" dxfId="24" priority="36">
      <formula>#REF!="Fail"</formula>
    </cfRule>
    <cfRule type="expression" dxfId="23" priority="37">
      <formula>#REF!="Pass"</formula>
    </cfRule>
  </conditionalFormatting>
  <conditionalFormatting sqref="D342:G343">
    <cfRule type="containsText" dxfId="22" priority="18" operator="containsText" text="Pass">
      <formula>NOT(ISERROR(SEARCH("Pass",D342)))</formula>
    </cfRule>
    <cfRule type="containsText" dxfId="21" priority="19" operator="containsText" text="Fail">
      <formula>NOT(ISERROR(SEARCH("Fail",D342)))</formula>
    </cfRule>
  </conditionalFormatting>
  <conditionalFormatting sqref="D351:G351">
    <cfRule type="containsText" dxfId="20" priority="15" operator="containsText" text="Good">
      <formula>NOT(ISERROR(SEARCH("Good",D351)))</formula>
    </cfRule>
    <cfRule type="containsText" dxfId="19" priority="17" operator="containsText" text="Poor">
      <formula>NOT(ISERROR(SEARCH("Poor",D351)))</formula>
    </cfRule>
    <cfRule type="containsText" dxfId="18" priority="16" operator="containsText" text="Acceptable">
      <formula>NOT(ISERROR(SEARCH("Acceptable",D351)))</formula>
    </cfRule>
  </conditionalFormatting>
  <conditionalFormatting sqref="D362:G364">
    <cfRule type="containsErrors" dxfId="17" priority="13">
      <formula>ISERROR(D362)</formula>
    </cfRule>
  </conditionalFormatting>
  <conditionalFormatting sqref="D366:G367">
    <cfRule type="containsText" dxfId="16" priority="10" operator="containsText" text="Pass">
      <formula>NOT(ISERROR(SEARCH("Pass",D366)))</formula>
    </cfRule>
    <cfRule type="containsText" dxfId="15" priority="11" operator="containsText" text="Fail">
      <formula>NOT(ISERROR(SEARCH("Fail",D366)))</formula>
    </cfRule>
    <cfRule type="containsErrors" dxfId="14" priority="12">
      <formula>ISERROR(D366)</formula>
    </cfRule>
  </conditionalFormatting>
  <conditionalFormatting sqref="H213:H220">
    <cfRule type="cellIs" dxfId="13" priority="22" operator="equal">
      <formula>"Pass"</formula>
    </cfRule>
    <cfRule type="cellIs" dxfId="12" priority="23" operator="equal">
      <formula>"Fail"</formula>
    </cfRule>
  </conditionalFormatting>
  <conditionalFormatting sqref="H226">
    <cfRule type="cellIs" dxfId="11" priority="24" operator="equal">
      <formula>"PASS"</formula>
    </cfRule>
    <cfRule type="cellIs" dxfId="10" priority="25" operator="equal">
      <formula>"CHECK"</formula>
    </cfRule>
  </conditionalFormatting>
  <conditionalFormatting sqref="H252:I259">
    <cfRule type="cellIs" dxfId="9" priority="21" operator="equal">
      <formula>"Pass"</formula>
    </cfRule>
    <cfRule type="cellIs" dxfId="8" priority="20" operator="equal">
      <formula>"Fail"</formula>
    </cfRule>
  </conditionalFormatting>
  <conditionalFormatting sqref="I426">
    <cfRule type="cellIs" dxfId="7" priority="6" operator="equal">
      <formula>"Fail"</formula>
    </cfRule>
    <cfRule type="cellIs" dxfId="6" priority="7" operator="equal">
      <formula>"Pass"</formula>
    </cfRule>
  </conditionalFormatting>
  <conditionalFormatting sqref="J163">
    <cfRule type="cellIs" dxfId="5" priority="32" operator="lessThan">
      <formula>0.95</formula>
    </cfRule>
    <cfRule type="cellIs" dxfId="4" priority="33" operator="greaterThanOrEqual">
      <formula>0.95</formula>
    </cfRule>
  </conditionalFormatting>
  <conditionalFormatting sqref="J164">
    <cfRule type="cellIs" dxfId="3" priority="30" operator="lessThan">
      <formula>0.9025</formula>
    </cfRule>
    <cfRule type="cellIs" dxfId="2" priority="31" operator="greaterThanOrEqual">
      <formula>0.9025</formula>
    </cfRule>
  </conditionalFormatting>
  <conditionalFormatting sqref="J61:K160">
    <cfRule type="cellIs" dxfId="1" priority="34" operator="equal">
      <formula>"EXCLUDE"</formula>
    </cfRule>
    <cfRule type="cellIs" dxfId="0" priority="35" operator="equal">
      <formula>"INCLUDE"</formula>
    </cfRule>
  </conditionalFormatting>
  <dataValidations count="10">
    <dataValidation type="list" allowBlank="1" showInputMessage="1" showErrorMessage="1" sqref="J61:J160" xr:uid="{29F391DE-D2AD-45A0-B2FB-211310385ED9}">
      <formula1>"INCLUDE,EXCLUDE"</formula1>
    </dataValidation>
    <dataValidation type="list" allowBlank="1" showInputMessage="1" showErrorMessage="1" sqref="D357" xr:uid="{FC011AFB-D45B-4D9F-AE65-1807615C7111}">
      <formula1>"Optimal,Desirable,Minimal"</formula1>
    </dataValidation>
    <dataValidation allowBlank="1" showInputMessage="1" showErrorMessage="1" prompt="Enter required information" sqref="B42:B45 D48" xr:uid="{D9DB55F4-5936-4960-9D0F-4CC1AADE27CA}">
      <formula1>0</formula1>
      <formula2>0</formula2>
    </dataValidation>
    <dataValidation allowBlank="1" showInputMessage="1" showErrorMessage="1" promptTitle="Instrument Information" prompt="Identity and location of instrument. Use serial number if available." sqref="B41" xr:uid="{77135FBA-8E4F-45DD-BF30-6F3909EA6BC3}">
      <formula1>0</formula1>
      <formula2>0</formula2>
    </dataValidation>
    <dataValidation allowBlank="1" showInputMessage="1" showErrorMessage="1" promptTitle="Measurand" prompt="Enter analyte, type of measurement and matrix. Example 1: Sodium concentration in serum or plasma. Example 2: ALT activity in serum or plasma" sqref="B11:H11" xr:uid="{1103CA02-F37C-4381-A18F-5FF2035C10B9}">
      <formula1>0</formula1>
      <formula2>0</formula2>
    </dataValidation>
    <dataValidation allowBlank="1" showErrorMessage="1" promptTitle="Instrument Information" prompt="Identity and location of instrument. Use serial number if available." sqref="F45:G45" xr:uid="{DE33AFFA-B9F3-4FE7-A9EE-FE99E2EDFCFD}">
      <formula1>0</formula1>
      <formula2>0</formula2>
    </dataValidation>
    <dataValidation allowBlank="1" showErrorMessage="1" prompt="Enter required information" sqref="E46:G46" xr:uid="{53D9ED37-81B2-493B-9932-2D833FAE9E67}">
      <formula1>0</formula1>
      <formula2>0</formula2>
    </dataValidation>
    <dataValidation allowBlank="1" showErrorMessage="1" promptTitle="Measureand" prompt="Enter analyte, type of measurement and matrix. Example 1: Sodium concentration in serum or plasma. Example 2: ALT activity in serum or plasma" sqref="G47:H47" xr:uid="{A88CDF57-528C-4002-BDC6-29A7AB9A4B30}">
      <formula1>0</formula1>
      <formula2>0</formula2>
    </dataValidation>
    <dataValidation allowBlank="1" showInputMessage="1" showErrorMessage="1" promptTitle="Instrument" prompt="Identity and location of instrument. Use serial number if available." sqref="B8:H8" xr:uid="{3340EF89-2985-491A-81CE-E4AF8564426F}">
      <formula1>0</formula1>
      <formula2>0</formula2>
    </dataValidation>
    <dataValidation allowBlank="1" showErrorMessage="1" sqref="B10:H10 B12 F12:H12" xr:uid="{D77CFF92-699B-4A05-9214-886B1D9D85FE}">
      <formula1>0</formula1>
      <formula2>0</formula2>
    </dataValidation>
  </dataValidations>
  <hyperlinks>
    <hyperlink ref="J36" r:id="rId1" xr:uid="{68D5BC64-A0BF-46BE-A85F-DF26C71FCB52}"/>
  </hyperlinks>
  <pageMargins left="0.7" right="0.7" top="0.75" bottom="0.75" header="0.511811023622047" footer="0.511811023622047"/>
  <pageSetup paperSize="9" orientation="portrait" horizontalDpi="300" verticalDpi="300" r:id="rId2"/>
  <drawing r:id="rId3"/>
  <legacy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AF1EC4C-C39B-4B92-821D-6A3DDBC9DE92}">
          <x14:formula1>
            <xm:f>Tables!$B:$B</xm:f>
          </x14:formula1>
          <xm:sqref>B4:E4</xm:sqref>
        </x14:dataValidation>
        <x14:dataValidation type="list" allowBlank="1" showInputMessage="1" showErrorMessage="1" xr:uid="{D04E614F-FCC8-40A2-9C2F-60FBA121CE8A}">
          <x14:formula1>
            <xm:f>Tables!$F$10:$F$19</xm:f>
          </x14:formula1>
          <xm:sqref>B6:C6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A98B-7B2D-4AB2-B78A-D9B6A3FE830B}">
  <dimension ref="A1:J265"/>
  <sheetViews>
    <sheetView topLeftCell="A217" workbookViewId="0">
      <selection activeCell="E10" sqref="E10"/>
    </sheetView>
  </sheetViews>
  <sheetFormatPr defaultRowHeight="15" x14ac:dyDescent="0.25"/>
  <cols>
    <col min="1" max="1" width="38.5703125" bestFit="1" customWidth="1"/>
    <col min="2" max="2" width="14.140625" bestFit="1" customWidth="1"/>
    <col min="3" max="3" width="10.28515625" bestFit="1" customWidth="1"/>
    <col min="4" max="4" width="7" bestFit="1" customWidth="1"/>
    <col min="5" max="5" width="7.28515625" bestFit="1" customWidth="1"/>
    <col min="6" max="6" width="10.42578125" bestFit="1" customWidth="1"/>
    <col min="7" max="7" width="10.140625" bestFit="1" customWidth="1"/>
    <col min="8" max="8" width="10.42578125" bestFit="1" customWidth="1"/>
    <col min="9" max="9" width="10.85546875" bestFit="1" customWidth="1"/>
    <col min="10" max="10" width="15.42578125" bestFit="1" customWidth="1"/>
  </cols>
  <sheetData>
    <row r="1" spans="1:10" x14ac:dyDescent="0.25">
      <c r="A1" t="s">
        <v>667</v>
      </c>
      <c r="B1" t="s">
        <v>668</v>
      </c>
      <c r="C1" t="s">
        <v>313</v>
      </c>
      <c r="D1" t="s">
        <v>669</v>
      </c>
      <c r="E1" t="s">
        <v>670</v>
      </c>
      <c r="F1" t="s">
        <v>671</v>
      </c>
      <c r="G1" t="s">
        <v>672</v>
      </c>
      <c r="H1" t="s">
        <v>310</v>
      </c>
      <c r="I1" t="s">
        <v>673</v>
      </c>
      <c r="J1" t="s">
        <v>674</v>
      </c>
    </row>
    <row r="2" spans="1:10" x14ac:dyDescent="0.25">
      <c r="A2" t="s">
        <v>309</v>
      </c>
      <c r="B2" t="s">
        <v>46</v>
      </c>
      <c r="C2" t="s">
        <v>54</v>
      </c>
      <c r="D2">
        <v>0.23699999999999999</v>
      </c>
      <c r="E2">
        <v>0.26300000000000001</v>
      </c>
      <c r="F2">
        <v>2</v>
      </c>
      <c r="G2">
        <v>0.2</v>
      </c>
      <c r="H2">
        <v>10</v>
      </c>
    </row>
    <row r="3" spans="1:10" x14ac:dyDescent="0.25">
      <c r="A3" t="s">
        <v>675</v>
      </c>
      <c r="B3" t="s">
        <v>70</v>
      </c>
      <c r="C3" t="s">
        <v>45</v>
      </c>
      <c r="F3">
        <v>0.3</v>
      </c>
      <c r="G3">
        <v>0.15</v>
      </c>
      <c r="H3">
        <v>2</v>
      </c>
    </row>
    <row r="4" spans="1:10" x14ac:dyDescent="0.25">
      <c r="A4" t="s">
        <v>676</v>
      </c>
      <c r="B4" t="s">
        <v>70</v>
      </c>
      <c r="C4" t="s">
        <v>45</v>
      </c>
      <c r="F4">
        <v>8</v>
      </c>
      <c r="G4">
        <v>0.2</v>
      </c>
      <c r="H4">
        <v>40</v>
      </c>
    </row>
    <row r="5" spans="1:10" x14ac:dyDescent="0.25">
      <c r="A5" t="s">
        <v>308</v>
      </c>
      <c r="B5" t="s">
        <v>63</v>
      </c>
      <c r="C5" t="s">
        <v>176</v>
      </c>
      <c r="D5">
        <v>0.33800000000000002</v>
      </c>
      <c r="F5">
        <v>1.5</v>
      </c>
      <c r="G5">
        <v>0.15</v>
      </c>
      <c r="H5">
        <v>10</v>
      </c>
    </row>
    <row r="6" spans="1:10" x14ac:dyDescent="0.25">
      <c r="A6" t="s">
        <v>307</v>
      </c>
      <c r="B6" t="s">
        <v>63</v>
      </c>
      <c r="C6" t="s">
        <v>176</v>
      </c>
      <c r="D6">
        <v>0.108</v>
      </c>
      <c r="E6">
        <v>0.13300000000000001</v>
      </c>
      <c r="F6">
        <v>1.5</v>
      </c>
      <c r="G6">
        <v>0.15</v>
      </c>
      <c r="H6">
        <v>10</v>
      </c>
    </row>
    <row r="7" spans="1:10" x14ac:dyDescent="0.25">
      <c r="A7" t="s">
        <v>306</v>
      </c>
      <c r="B7" t="s">
        <v>63</v>
      </c>
      <c r="C7" t="s">
        <v>176</v>
      </c>
      <c r="D7">
        <v>8.8999999999999996E-2</v>
      </c>
      <c r="E7">
        <v>0.08</v>
      </c>
      <c r="F7">
        <v>1.5</v>
      </c>
      <c r="G7">
        <v>0.15</v>
      </c>
      <c r="H7">
        <v>10</v>
      </c>
    </row>
    <row r="8" spans="1:10" x14ac:dyDescent="0.25">
      <c r="A8" t="s">
        <v>305</v>
      </c>
      <c r="B8" t="s">
        <v>57</v>
      </c>
      <c r="C8" t="s">
        <v>94</v>
      </c>
      <c r="D8">
        <v>2.8000000000000001E-2</v>
      </c>
      <c r="E8">
        <v>7.1999999999999995E-2</v>
      </c>
      <c r="F8">
        <v>10</v>
      </c>
      <c r="G8">
        <v>0.25</v>
      </c>
      <c r="H8">
        <v>40</v>
      </c>
    </row>
    <row r="9" spans="1:10" x14ac:dyDescent="0.25">
      <c r="A9" t="s">
        <v>304</v>
      </c>
      <c r="B9" t="s">
        <v>57</v>
      </c>
      <c r="C9" t="s">
        <v>62</v>
      </c>
      <c r="D9">
        <v>0.48299999999999998</v>
      </c>
      <c r="F9">
        <v>30</v>
      </c>
      <c r="G9">
        <v>0.3</v>
      </c>
      <c r="H9">
        <v>100</v>
      </c>
    </row>
    <row r="10" spans="1:10" x14ac:dyDescent="0.25">
      <c r="A10" t="s">
        <v>303</v>
      </c>
      <c r="B10" t="s">
        <v>70</v>
      </c>
      <c r="C10" t="s">
        <v>54</v>
      </c>
      <c r="F10">
        <v>30</v>
      </c>
      <c r="G10">
        <v>0.3</v>
      </c>
      <c r="H10">
        <v>100</v>
      </c>
    </row>
    <row r="11" spans="1:10" x14ac:dyDescent="0.25">
      <c r="A11" t="s">
        <v>302</v>
      </c>
      <c r="B11" t="s">
        <v>57</v>
      </c>
      <c r="C11" t="s">
        <v>76</v>
      </c>
      <c r="F11">
        <v>9</v>
      </c>
      <c r="G11">
        <v>0.1</v>
      </c>
      <c r="H11">
        <v>90</v>
      </c>
    </row>
    <row r="12" spans="1:10" x14ac:dyDescent="0.25">
      <c r="A12" t="s">
        <v>301</v>
      </c>
      <c r="B12" t="s">
        <v>57</v>
      </c>
      <c r="C12" t="s">
        <v>62</v>
      </c>
      <c r="F12">
        <v>2</v>
      </c>
      <c r="G12">
        <v>0.1</v>
      </c>
      <c r="H12">
        <v>20</v>
      </c>
    </row>
    <row r="13" spans="1:10" x14ac:dyDescent="0.25">
      <c r="A13" t="s">
        <v>300</v>
      </c>
      <c r="B13" t="s">
        <v>46</v>
      </c>
      <c r="C13" t="s">
        <v>176</v>
      </c>
      <c r="D13">
        <v>0.126</v>
      </c>
      <c r="E13">
        <v>0.3</v>
      </c>
      <c r="F13">
        <v>5</v>
      </c>
      <c r="G13">
        <v>0.12</v>
      </c>
      <c r="H13">
        <v>40</v>
      </c>
    </row>
    <row r="14" spans="1:10" x14ac:dyDescent="0.25">
      <c r="A14" t="s">
        <v>299</v>
      </c>
      <c r="B14" t="s">
        <v>46</v>
      </c>
      <c r="C14" t="s">
        <v>85</v>
      </c>
      <c r="D14">
        <v>2.5000000000000001E-2</v>
      </c>
      <c r="E14">
        <v>4.2999999999999997E-2</v>
      </c>
      <c r="F14">
        <v>2</v>
      </c>
      <c r="G14">
        <v>0.06</v>
      </c>
      <c r="H14">
        <v>33</v>
      </c>
    </row>
    <row r="15" spans="1:10" x14ac:dyDescent="0.25">
      <c r="A15" t="s">
        <v>298</v>
      </c>
      <c r="B15" t="s">
        <v>49</v>
      </c>
      <c r="C15" t="s">
        <v>85</v>
      </c>
      <c r="F15">
        <v>0.02</v>
      </c>
      <c r="G15">
        <v>0.2</v>
      </c>
      <c r="H15">
        <v>0.1</v>
      </c>
    </row>
    <row r="16" spans="1:10" x14ac:dyDescent="0.25">
      <c r="A16" t="s">
        <v>686</v>
      </c>
      <c r="B16" t="s">
        <v>141</v>
      </c>
      <c r="C16" t="s">
        <v>85</v>
      </c>
      <c r="F16">
        <v>2</v>
      </c>
      <c r="G16">
        <v>0.06</v>
      </c>
      <c r="H16">
        <v>33</v>
      </c>
    </row>
    <row r="17" spans="1:10" x14ac:dyDescent="0.25">
      <c r="A17" t="s">
        <v>297</v>
      </c>
      <c r="B17" t="s">
        <v>70</v>
      </c>
      <c r="C17" t="s">
        <v>52</v>
      </c>
      <c r="D17">
        <v>0.36</v>
      </c>
      <c r="E17">
        <v>0.55000000000000004</v>
      </c>
      <c r="F17">
        <v>4</v>
      </c>
      <c r="G17">
        <v>0.2</v>
      </c>
      <c r="H17">
        <v>20</v>
      </c>
    </row>
    <row r="18" spans="1:10" x14ac:dyDescent="0.25">
      <c r="A18" t="s">
        <v>296</v>
      </c>
      <c r="B18" t="s">
        <v>46</v>
      </c>
      <c r="C18" t="s">
        <v>62</v>
      </c>
      <c r="D18">
        <v>0.36599999999999999</v>
      </c>
      <c r="E18">
        <v>0.34699999999999998</v>
      </c>
      <c r="F18">
        <v>24</v>
      </c>
      <c r="G18">
        <v>0.15</v>
      </c>
      <c r="H18">
        <v>160</v>
      </c>
    </row>
    <row r="19" spans="1:10" x14ac:dyDescent="0.25">
      <c r="A19" t="s">
        <v>295</v>
      </c>
      <c r="B19" t="s">
        <v>46</v>
      </c>
      <c r="C19" t="s">
        <v>176</v>
      </c>
      <c r="D19">
        <v>5.1999999999999998E-2</v>
      </c>
      <c r="E19">
        <v>0.22600000000000001</v>
      </c>
      <c r="F19">
        <v>15</v>
      </c>
      <c r="G19">
        <v>0.12</v>
      </c>
      <c r="H19">
        <v>125</v>
      </c>
    </row>
    <row r="20" spans="1:10" x14ac:dyDescent="0.25">
      <c r="A20" t="s">
        <v>703</v>
      </c>
      <c r="B20" t="s">
        <v>46</v>
      </c>
      <c r="C20" t="s">
        <v>85</v>
      </c>
      <c r="D20">
        <v>3.7999999999999999E-2</v>
      </c>
      <c r="E20">
        <v>0.10100000000000001</v>
      </c>
      <c r="F20">
        <v>0.1</v>
      </c>
      <c r="G20">
        <v>0.2</v>
      </c>
      <c r="H20">
        <v>0.5</v>
      </c>
    </row>
    <row r="21" spans="1:10" x14ac:dyDescent="0.25">
      <c r="A21" t="s">
        <v>294</v>
      </c>
      <c r="B21" t="s">
        <v>46</v>
      </c>
      <c r="C21" t="s">
        <v>293</v>
      </c>
      <c r="D21">
        <v>4.5999999999999999E-2</v>
      </c>
      <c r="E21">
        <v>0.55200000000000005</v>
      </c>
      <c r="F21">
        <v>2</v>
      </c>
      <c r="G21">
        <v>0.12</v>
      </c>
      <c r="H21">
        <v>17</v>
      </c>
    </row>
    <row r="22" spans="1:10" x14ac:dyDescent="0.25">
      <c r="A22" t="s">
        <v>292</v>
      </c>
      <c r="B22" t="s">
        <v>46</v>
      </c>
      <c r="C22" t="s">
        <v>52</v>
      </c>
      <c r="F22">
        <v>2</v>
      </c>
      <c r="G22">
        <v>0.1</v>
      </c>
      <c r="H22">
        <v>19.899999999999999</v>
      </c>
      <c r="I22">
        <v>2</v>
      </c>
      <c r="J22">
        <v>8</v>
      </c>
    </row>
    <row r="23" spans="1:10" x14ac:dyDescent="0.25">
      <c r="A23" t="s">
        <v>291</v>
      </c>
      <c r="B23" t="s">
        <v>70</v>
      </c>
      <c r="C23" t="s">
        <v>45</v>
      </c>
      <c r="F23">
        <v>8</v>
      </c>
      <c r="G23">
        <v>0.25</v>
      </c>
      <c r="H23">
        <v>32</v>
      </c>
    </row>
    <row r="24" spans="1:10" x14ac:dyDescent="0.25">
      <c r="A24" t="s">
        <v>290</v>
      </c>
      <c r="B24" t="s">
        <v>46</v>
      </c>
      <c r="C24" t="s">
        <v>52</v>
      </c>
      <c r="F24">
        <v>0.13</v>
      </c>
      <c r="G24">
        <v>0.1</v>
      </c>
      <c r="H24">
        <v>1.3</v>
      </c>
    </row>
    <row r="25" spans="1:10" x14ac:dyDescent="0.25">
      <c r="A25" t="s">
        <v>289</v>
      </c>
      <c r="B25" t="s">
        <v>46</v>
      </c>
      <c r="C25" t="s">
        <v>79</v>
      </c>
      <c r="F25">
        <v>3</v>
      </c>
      <c r="G25">
        <v>0.1</v>
      </c>
      <c r="H25">
        <v>28</v>
      </c>
    </row>
    <row r="26" spans="1:10" x14ac:dyDescent="0.25">
      <c r="A26" t="s">
        <v>288</v>
      </c>
      <c r="B26" t="s">
        <v>46</v>
      </c>
      <c r="C26" t="s">
        <v>45</v>
      </c>
      <c r="F26">
        <v>5</v>
      </c>
      <c r="G26">
        <v>0.1</v>
      </c>
      <c r="H26">
        <v>50</v>
      </c>
    </row>
    <row r="27" spans="1:10" x14ac:dyDescent="0.25">
      <c r="A27" t="s">
        <v>677</v>
      </c>
      <c r="B27" t="s">
        <v>70</v>
      </c>
      <c r="C27" t="s">
        <v>45</v>
      </c>
      <c r="F27">
        <v>5</v>
      </c>
      <c r="G27">
        <v>0.1</v>
      </c>
      <c r="H27">
        <v>50</v>
      </c>
    </row>
    <row r="28" spans="1:10" x14ac:dyDescent="0.25">
      <c r="A28" t="s">
        <v>287</v>
      </c>
      <c r="B28" t="s">
        <v>70</v>
      </c>
      <c r="C28" t="s">
        <v>79</v>
      </c>
      <c r="F28">
        <v>75</v>
      </c>
      <c r="G28">
        <v>0.25</v>
      </c>
      <c r="H28">
        <v>300</v>
      </c>
    </row>
    <row r="29" spans="1:10" x14ac:dyDescent="0.25">
      <c r="A29" t="s">
        <v>286</v>
      </c>
      <c r="B29" t="s">
        <v>46</v>
      </c>
      <c r="C29" t="s">
        <v>176</v>
      </c>
      <c r="D29">
        <v>6.8000000000000005E-2</v>
      </c>
      <c r="E29">
        <v>0.248</v>
      </c>
      <c r="F29">
        <v>10</v>
      </c>
      <c r="G29">
        <v>0.1</v>
      </c>
      <c r="H29">
        <v>100</v>
      </c>
    </row>
    <row r="30" spans="1:10" x14ac:dyDescent="0.25">
      <c r="A30" t="s">
        <v>687</v>
      </c>
      <c r="B30" t="s">
        <v>141</v>
      </c>
      <c r="C30" t="s">
        <v>176</v>
      </c>
      <c r="F30">
        <v>20</v>
      </c>
      <c r="G30">
        <v>0.2</v>
      </c>
      <c r="H30">
        <v>100</v>
      </c>
    </row>
    <row r="31" spans="1:10" x14ac:dyDescent="0.25">
      <c r="A31" t="s">
        <v>285</v>
      </c>
      <c r="B31" t="s">
        <v>70</v>
      </c>
      <c r="C31" t="s">
        <v>176</v>
      </c>
      <c r="D31">
        <v>0.94</v>
      </c>
      <c r="E31">
        <v>0.46</v>
      </c>
      <c r="F31">
        <v>20</v>
      </c>
      <c r="G31">
        <v>0.2</v>
      </c>
      <c r="H31">
        <v>100</v>
      </c>
    </row>
    <row r="32" spans="1:10" x14ac:dyDescent="0.25">
      <c r="A32" t="s">
        <v>284</v>
      </c>
      <c r="B32" t="s">
        <v>59</v>
      </c>
      <c r="C32" t="s">
        <v>54</v>
      </c>
      <c r="D32">
        <v>0.19900000000000001</v>
      </c>
      <c r="E32">
        <v>0.33500000000000002</v>
      </c>
      <c r="F32">
        <v>1.5</v>
      </c>
      <c r="G32">
        <v>0.15</v>
      </c>
      <c r="H32">
        <v>10</v>
      </c>
    </row>
    <row r="33" spans="1:10" x14ac:dyDescent="0.25">
      <c r="A33" t="s">
        <v>283</v>
      </c>
      <c r="B33" t="s">
        <v>57</v>
      </c>
      <c r="C33" t="s">
        <v>176</v>
      </c>
      <c r="F33">
        <v>1</v>
      </c>
      <c r="G33">
        <v>0.1</v>
      </c>
      <c r="H33">
        <v>10</v>
      </c>
    </row>
    <row r="34" spans="1:10" x14ac:dyDescent="0.25">
      <c r="A34" t="s">
        <v>282</v>
      </c>
      <c r="B34" t="s">
        <v>46</v>
      </c>
      <c r="C34" t="s">
        <v>62</v>
      </c>
      <c r="D34">
        <v>0.192</v>
      </c>
      <c r="E34">
        <v>0.20399999999999999</v>
      </c>
      <c r="F34">
        <v>1</v>
      </c>
      <c r="G34">
        <v>0.15</v>
      </c>
      <c r="H34">
        <v>6</v>
      </c>
    </row>
    <row r="35" spans="1:10" x14ac:dyDescent="0.25">
      <c r="A35" t="s">
        <v>281</v>
      </c>
      <c r="B35" t="s">
        <v>46</v>
      </c>
      <c r="C35" t="s">
        <v>85</v>
      </c>
      <c r="D35">
        <v>4.7E-2</v>
      </c>
      <c r="E35">
        <v>0.08</v>
      </c>
      <c r="F35">
        <v>0.2</v>
      </c>
      <c r="G35">
        <v>0.1</v>
      </c>
      <c r="H35">
        <v>2</v>
      </c>
    </row>
    <row r="36" spans="1:10" x14ac:dyDescent="0.25">
      <c r="A36" t="s">
        <v>280</v>
      </c>
      <c r="B36" t="s">
        <v>46</v>
      </c>
      <c r="C36" t="s">
        <v>85</v>
      </c>
      <c r="D36">
        <v>6.2E-2</v>
      </c>
      <c r="E36">
        <v>0.20399999999999999</v>
      </c>
      <c r="F36">
        <v>0.2</v>
      </c>
      <c r="G36">
        <v>0.1</v>
      </c>
      <c r="H36">
        <v>2</v>
      </c>
    </row>
    <row r="37" spans="1:10" x14ac:dyDescent="0.25">
      <c r="A37" t="s">
        <v>279</v>
      </c>
      <c r="B37" t="s">
        <v>46</v>
      </c>
      <c r="C37" t="s">
        <v>176</v>
      </c>
      <c r="D37">
        <v>8.5999999999999993E-2</v>
      </c>
      <c r="E37">
        <v>0.19600000000000001</v>
      </c>
      <c r="F37">
        <v>5</v>
      </c>
      <c r="G37">
        <v>0.12</v>
      </c>
      <c r="H37">
        <v>40</v>
      </c>
    </row>
    <row r="38" spans="1:10" x14ac:dyDescent="0.25">
      <c r="A38" t="s">
        <v>278</v>
      </c>
      <c r="B38" t="s">
        <v>70</v>
      </c>
      <c r="C38" t="s">
        <v>52</v>
      </c>
      <c r="F38">
        <v>50</v>
      </c>
      <c r="G38">
        <v>0.25</v>
      </c>
      <c r="H38">
        <v>200</v>
      </c>
      <c r="I38">
        <v>50</v>
      </c>
      <c r="J38">
        <v>12</v>
      </c>
    </row>
    <row r="39" spans="1:10" x14ac:dyDescent="0.25">
      <c r="A39" t="s">
        <v>277</v>
      </c>
      <c r="B39" t="s">
        <v>70</v>
      </c>
      <c r="C39" t="s">
        <v>79</v>
      </c>
      <c r="F39">
        <v>50</v>
      </c>
      <c r="G39">
        <v>0.25</v>
      </c>
      <c r="H39">
        <v>200</v>
      </c>
    </row>
    <row r="40" spans="1:10" x14ac:dyDescent="0.25">
      <c r="A40" t="s">
        <v>276</v>
      </c>
      <c r="B40" t="s">
        <v>46</v>
      </c>
      <c r="C40" t="s">
        <v>69</v>
      </c>
      <c r="D40">
        <v>0.04</v>
      </c>
      <c r="E40">
        <v>0.19500000000000001</v>
      </c>
      <c r="G40">
        <v>0.15</v>
      </c>
    </row>
    <row r="41" spans="1:10" x14ac:dyDescent="0.25">
      <c r="A41" t="s">
        <v>275</v>
      </c>
      <c r="B41" t="s">
        <v>46</v>
      </c>
      <c r="C41" t="s">
        <v>45</v>
      </c>
      <c r="D41">
        <v>0.04</v>
      </c>
      <c r="E41">
        <v>0.19500000000000001</v>
      </c>
      <c r="G41">
        <v>0.15</v>
      </c>
    </row>
    <row r="42" spans="1:10" x14ac:dyDescent="0.25">
      <c r="A42" t="s">
        <v>704</v>
      </c>
      <c r="B42" t="s">
        <v>46</v>
      </c>
      <c r="C42" t="s">
        <v>52</v>
      </c>
      <c r="D42">
        <v>4.1000000000000002E-2</v>
      </c>
      <c r="E42">
        <v>0.115</v>
      </c>
      <c r="F42">
        <v>0.2</v>
      </c>
      <c r="G42">
        <v>0.1</v>
      </c>
      <c r="H42">
        <v>2</v>
      </c>
    </row>
    <row r="43" spans="1:10" x14ac:dyDescent="0.25">
      <c r="A43" t="s">
        <v>274</v>
      </c>
      <c r="B43" t="s">
        <v>46</v>
      </c>
      <c r="C43" t="s">
        <v>69</v>
      </c>
      <c r="D43">
        <v>0.04</v>
      </c>
      <c r="E43">
        <v>4.8000000000000001E-2</v>
      </c>
      <c r="F43">
        <v>2</v>
      </c>
      <c r="G43">
        <v>0.1</v>
      </c>
      <c r="H43">
        <v>20</v>
      </c>
    </row>
    <row r="44" spans="1:10" x14ac:dyDescent="0.25">
      <c r="A44" t="s">
        <v>273</v>
      </c>
      <c r="B44" t="s">
        <v>46</v>
      </c>
      <c r="C44" t="s">
        <v>45</v>
      </c>
      <c r="F44">
        <v>4</v>
      </c>
      <c r="G44">
        <v>0.1</v>
      </c>
      <c r="H44">
        <v>40</v>
      </c>
    </row>
    <row r="45" spans="1:10" x14ac:dyDescent="0.25">
      <c r="A45" t="s">
        <v>272</v>
      </c>
      <c r="B45" t="s">
        <v>46</v>
      </c>
      <c r="C45" t="s">
        <v>45</v>
      </c>
      <c r="D45">
        <v>0.19500000000000001</v>
      </c>
      <c r="E45">
        <v>0.219</v>
      </c>
      <c r="F45">
        <v>3</v>
      </c>
      <c r="G45">
        <v>0.2</v>
      </c>
      <c r="H45">
        <v>15</v>
      </c>
    </row>
    <row r="46" spans="1:10" x14ac:dyDescent="0.25">
      <c r="A46" t="s">
        <v>271</v>
      </c>
      <c r="B46" t="s">
        <v>49</v>
      </c>
      <c r="C46" t="s">
        <v>45</v>
      </c>
      <c r="F46">
        <v>0.12</v>
      </c>
      <c r="G46">
        <v>0.2</v>
      </c>
      <c r="H46">
        <v>0.6</v>
      </c>
    </row>
    <row r="47" spans="1:10" x14ac:dyDescent="0.25">
      <c r="A47" t="s">
        <v>270</v>
      </c>
      <c r="B47" t="s">
        <v>46</v>
      </c>
      <c r="C47" t="s">
        <v>45</v>
      </c>
      <c r="D47">
        <v>0.20200000000000001</v>
      </c>
      <c r="E47">
        <v>0.249</v>
      </c>
      <c r="F47">
        <v>8</v>
      </c>
      <c r="G47">
        <v>0.1</v>
      </c>
      <c r="H47">
        <v>80</v>
      </c>
    </row>
    <row r="48" spans="1:10" x14ac:dyDescent="0.25">
      <c r="A48" t="s">
        <v>269</v>
      </c>
      <c r="B48" t="s">
        <v>46</v>
      </c>
      <c r="C48" t="s">
        <v>45</v>
      </c>
      <c r="D48">
        <v>0.20200000000000001</v>
      </c>
      <c r="E48">
        <v>0.249</v>
      </c>
      <c r="F48">
        <v>3</v>
      </c>
      <c r="G48">
        <v>0.12</v>
      </c>
      <c r="H48">
        <v>25</v>
      </c>
    </row>
    <row r="49" spans="1:9" x14ac:dyDescent="0.25">
      <c r="A49" t="s">
        <v>268</v>
      </c>
      <c r="B49" t="s">
        <v>131</v>
      </c>
      <c r="C49" t="s">
        <v>79</v>
      </c>
      <c r="F49">
        <v>15</v>
      </c>
      <c r="G49">
        <v>0.15</v>
      </c>
      <c r="H49">
        <v>100</v>
      </c>
    </row>
    <row r="50" spans="1:9" x14ac:dyDescent="0.25">
      <c r="A50" t="s">
        <v>267</v>
      </c>
      <c r="B50" t="s">
        <v>57</v>
      </c>
      <c r="C50" t="s">
        <v>76</v>
      </c>
      <c r="D50">
        <v>0.44</v>
      </c>
      <c r="E50">
        <v>0.56000000000000005</v>
      </c>
      <c r="F50">
        <v>20</v>
      </c>
      <c r="G50">
        <v>0.2</v>
      </c>
      <c r="H50">
        <v>100</v>
      </c>
    </row>
    <row r="51" spans="1:9" x14ac:dyDescent="0.25">
      <c r="A51" t="s">
        <v>239</v>
      </c>
      <c r="B51" t="s">
        <v>46</v>
      </c>
      <c r="C51" t="s">
        <v>54</v>
      </c>
      <c r="D51">
        <v>0.16600000000000001</v>
      </c>
      <c r="E51">
        <v>0.23200000000000001</v>
      </c>
      <c r="F51">
        <v>0.15</v>
      </c>
      <c r="G51">
        <v>0.12</v>
      </c>
      <c r="H51">
        <v>1.25</v>
      </c>
    </row>
    <row r="52" spans="1:9" x14ac:dyDescent="0.25">
      <c r="A52" t="s">
        <v>238</v>
      </c>
      <c r="B52" t="s">
        <v>46</v>
      </c>
      <c r="C52" t="s">
        <v>52</v>
      </c>
      <c r="D52">
        <v>0.34699999999999998</v>
      </c>
      <c r="E52">
        <v>0.871</v>
      </c>
      <c r="F52">
        <v>0.8</v>
      </c>
      <c r="G52">
        <v>0.2</v>
      </c>
      <c r="H52">
        <v>4</v>
      </c>
    </row>
    <row r="53" spans="1:9" x14ac:dyDescent="0.25">
      <c r="A53" t="s">
        <v>237</v>
      </c>
      <c r="B53" t="s">
        <v>46</v>
      </c>
      <c r="C53" t="s">
        <v>52</v>
      </c>
      <c r="F53">
        <v>0.6</v>
      </c>
      <c r="G53">
        <v>0.2</v>
      </c>
      <c r="H53">
        <v>3</v>
      </c>
    </row>
    <row r="54" spans="1:9" x14ac:dyDescent="0.25">
      <c r="A54" t="s">
        <v>705</v>
      </c>
      <c r="B54" t="s">
        <v>46</v>
      </c>
      <c r="C54" t="s">
        <v>85</v>
      </c>
      <c r="F54">
        <v>0.03</v>
      </c>
      <c r="G54">
        <v>0.15</v>
      </c>
      <c r="H54">
        <v>0.2</v>
      </c>
    </row>
    <row r="55" spans="1:9" x14ac:dyDescent="0.25">
      <c r="A55" t="s">
        <v>266</v>
      </c>
      <c r="B55" t="s">
        <v>46</v>
      </c>
      <c r="C55" t="s">
        <v>85</v>
      </c>
      <c r="D55">
        <v>4.5999999999999999E-2</v>
      </c>
      <c r="E55">
        <v>0.152</v>
      </c>
      <c r="F55">
        <v>0.1</v>
      </c>
      <c r="G55">
        <v>0.1</v>
      </c>
      <c r="H55">
        <v>1</v>
      </c>
    </row>
    <row r="56" spans="1:9" x14ac:dyDescent="0.25">
      <c r="A56" t="s">
        <v>265</v>
      </c>
      <c r="B56" t="s">
        <v>46</v>
      </c>
      <c r="C56" t="s">
        <v>85</v>
      </c>
      <c r="D56">
        <v>6.9000000000000006E-2</v>
      </c>
      <c r="E56">
        <v>0.245</v>
      </c>
      <c r="F56">
        <v>0.02</v>
      </c>
      <c r="G56">
        <v>0.1</v>
      </c>
      <c r="H56">
        <v>0.2</v>
      </c>
    </row>
    <row r="57" spans="1:9" x14ac:dyDescent="0.25">
      <c r="A57" t="s">
        <v>264</v>
      </c>
      <c r="B57" t="s">
        <v>46</v>
      </c>
      <c r="C57" t="s">
        <v>111</v>
      </c>
      <c r="D57">
        <v>8.6999999999999994E-2</v>
      </c>
      <c r="E57">
        <v>0.255</v>
      </c>
      <c r="F57">
        <v>6</v>
      </c>
      <c r="G57">
        <v>0.12</v>
      </c>
      <c r="H57">
        <v>50</v>
      </c>
      <c r="I57">
        <v>336</v>
      </c>
    </row>
    <row r="58" spans="1:9" x14ac:dyDescent="0.25">
      <c r="A58" t="s">
        <v>263</v>
      </c>
      <c r="B58" t="s">
        <v>46</v>
      </c>
      <c r="C58" t="s">
        <v>111</v>
      </c>
      <c r="D58">
        <v>6.0999999999999999E-2</v>
      </c>
      <c r="E58">
        <v>0.629</v>
      </c>
      <c r="F58">
        <v>3</v>
      </c>
      <c r="G58">
        <v>0.1</v>
      </c>
      <c r="H58">
        <v>30</v>
      </c>
      <c r="I58">
        <v>240</v>
      </c>
    </row>
    <row r="59" spans="1:9" x14ac:dyDescent="0.25">
      <c r="A59" t="s">
        <v>262</v>
      </c>
      <c r="B59" t="s">
        <v>46</v>
      </c>
      <c r="C59" t="s">
        <v>111</v>
      </c>
      <c r="D59">
        <v>4.2999999999999997E-2</v>
      </c>
      <c r="E59">
        <v>0.57399999999999995</v>
      </c>
      <c r="F59">
        <v>6</v>
      </c>
      <c r="G59">
        <v>0.15</v>
      </c>
      <c r="H59">
        <v>40</v>
      </c>
    </row>
    <row r="60" spans="1:9" x14ac:dyDescent="0.25">
      <c r="A60" t="s">
        <v>688</v>
      </c>
      <c r="B60" t="s">
        <v>141</v>
      </c>
      <c r="C60" t="s">
        <v>111</v>
      </c>
      <c r="F60">
        <v>12</v>
      </c>
      <c r="G60">
        <v>0.3</v>
      </c>
      <c r="H60">
        <v>40</v>
      </c>
    </row>
    <row r="61" spans="1:9" x14ac:dyDescent="0.25">
      <c r="A61" t="s">
        <v>261</v>
      </c>
      <c r="B61" t="s">
        <v>46</v>
      </c>
      <c r="C61" t="s">
        <v>85</v>
      </c>
      <c r="D61">
        <v>0.05</v>
      </c>
      <c r="E61">
        <v>0.151</v>
      </c>
      <c r="F61">
        <v>0.03</v>
      </c>
      <c r="G61">
        <v>0.15</v>
      </c>
      <c r="H61">
        <v>0.2</v>
      </c>
    </row>
    <row r="62" spans="1:9" x14ac:dyDescent="0.25">
      <c r="A62" t="s">
        <v>260</v>
      </c>
      <c r="B62" t="s">
        <v>59</v>
      </c>
      <c r="C62" t="s">
        <v>76</v>
      </c>
      <c r="D62">
        <v>0.13</v>
      </c>
      <c r="E62">
        <v>0.65800000000000003</v>
      </c>
      <c r="F62">
        <v>2</v>
      </c>
      <c r="G62">
        <v>0.1</v>
      </c>
      <c r="H62">
        <v>20</v>
      </c>
    </row>
    <row r="63" spans="1:9" x14ac:dyDescent="0.25">
      <c r="A63" t="s">
        <v>259</v>
      </c>
      <c r="B63" t="s">
        <v>46</v>
      </c>
      <c r="C63" t="s">
        <v>69</v>
      </c>
      <c r="D63">
        <v>1.7999999999999999E-2</v>
      </c>
      <c r="E63">
        <v>2.1999999999999999E-2</v>
      </c>
      <c r="F63">
        <v>0.1</v>
      </c>
      <c r="G63">
        <v>0.04</v>
      </c>
      <c r="H63">
        <v>2.5</v>
      </c>
    </row>
    <row r="64" spans="1:9" x14ac:dyDescent="0.25">
      <c r="A64" t="s">
        <v>258</v>
      </c>
      <c r="B64" t="s">
        <v>59</v>
      </c>
      <c r="C64" t="s">
        <v>69</v>
      </c>
      <c r="D64">
        <v>1.7000000000000001E-2</v>
      </c>
      <c r="E64">
        <v>1.9E-2</v>
      </c>
      <c r="F64">
        <v>0.04</v>
      </c>
      <c r="G64">
        <v>0.04</v>
      </c>
      <c r="H64">
        <v>1</v>
      </c>
    </row>
    <row r="65" spans="1:10" x14ac:dyDescent="0.25">
      <c r="A65" t="s">
        <v>257</v>
      </c>
      <c r="B65" t="s">
        <v>70</v>
      </c>
      <c r="C65" t="s">
        <v>69</v>
      </c>
      <c r="D65">
        <v>0.27500000000000002</v>
      </c>
      <c r="E65">
        <v>0.36599999999999999</v>
      </c>
      <c r="F65">
        <v>0.2</v>
      </c>
      <c r="G65">
        <v>0.1</v>
      </c>
      <c r="H65">
        <v>2</v>
      </c>
    </row>
    <row r="66" spans="1:10" x14ac:dyDescent="0.25">
      <c r="A66" t="s">
        <v>256</v>
      </c>
      <c r="B66" t="s">
        <v>70</v>
      </c>
      <c r="C66" t="s">
        <v>79</v>
      </c>
      <c r="F66">
        <v>12.5</v>
      </c>
      <c r="G66">
        <v>0.25</v>
      </c>
      <c r="H66">
        <v>50</v>
      </c>
    </row>
    <row r="67" spans="1:10" x14ac:dyDescent="0.25">
      <c r="A67" t="s">
        <v>255</v>
      </c>
      <c r="B67" t="s">
        <v>46</v>
      </c>
      <c r="C67" t="s">
        <v>52</v>
      </c>
      <c r="F67">
        <v>0.5</v>
      </c>
      <c r="G67">
        <v>0.1</v>
      </c>
      <c r="H67">
        <v>4.7</v>
      </c>
      <c r="I67">
        <v>27</v>
      </c>
      <c r="J67">
        <v>12</v>
      </c>
    </row>
    <row r="68" spans="1:10" x14ac:dyDescent="0.25">
      <c r="A68" t="s">
        <v>254</v>
      </c>
      <c r="B68" t="s">
        <v>59</v>
      </c>
      <c r="C68" t="s">
        <v>147</v>
      </c>
      <c r="F68">
        <v>1</v>
      </c>
      <c r="G68">
        <v>0.2</v>
      </c>
      <c r="H68">
        <v>5</v>
      </c>
    </row>
    <row r="69" spans="1:10" x14ac:dyDescent="0.25">
      <c r="A69" t="s">
        <v>253</v>
      </c>
      <c r="B69" t="s">
        <v>46</v>
      </c>
      <c r="C69" t="s">
        <v>79</v>
      </c>
      <c r="D69">
        <v>6.8000000000000005E-2</v>
      </c>
      <c r="E69">
        <v>0.59299999999999997</v>
      </c>
      <c r="F69">
        <v>0.6</v>
      </c>
      <c r="G69">
        <v>0.12</v>
      </c>
      <c r="H69">
        <v>5</v>
      </c>
    </row>
    <row r="70" spans="1:10" x14ac:dyDescent="0.25">
      <c r="A70" t="s">
        <v>689</v>
      </c>
      <c r="B70" t="s">
        <v>141</v>
      </c>
      <c r="C70" t="s">
        <v>79</v>
      </c>
      <c r="F70">
        <v>1.2</v>
      </c>
      <c r="G70">
        <v>0.24</v>
      </c>
      <c r="H70">
        <v>5</v>
      </c>
    </row>
    <row r="71" spans="1:10" x14ac:dyDescent="0.25">
      <c r="A71" t="s">
        <v>252</v>
      </c>
      <c r="B71" t="s">
        <v>46</v>
      </c>
      <c r="C71" t="s">
        <v>69</v>
      </c>
      <c r="D71">
        <v>0.01</v>
      </c>
      <c r="E71">
        <v>1.2999999999999999E-2</v>
      </c>
      <c r="F71">
        <v>3</v>
      </c>
      <c r="G71">
        <v>0.03</v>
      </c>
      <c r="H71">
        <v>100</v>
      </c>
    </row>
    <row r="72" spans="1:10" x14ac:dyDescent="0.25">
      <c r="A72" t="s">
        <v>251</v>
      </c>
      <c r="B72" t="s">
        <v>59</v>
      </c>
      <c r="C72" t="s">
        <v>69</v>
      </c>
      <c r="D72">
        <v>0.01</v>
      </c>
      <c r="E72">
        <v>1.2999999999999999E-2</v>
      </c>
      <c r="F72">
        <v>3</v>
      </c>
      <c r="G72">
        <v>0.03</v>
      </c>
      <c r="H72">
        <v>100</v>
      </c>
    </row>
    <row r="73" spans="1:10" x14ac:dyDescent="0.25">
      <c r="A73" t="s">
        <v>250</v>
      </c>
      <c r="B73" t="s">
        <v>101</v>
      </c>
      <c r="C73" t="s">
        <v>69</v>
      </c>
      <c r="F73">
        <v>2</v>
      </c>
      <c r="G73">
        <v>0.05</v>
      </c>
      <c r="H73">
        <v>40</v>
      </c>
    </row>
    <row r="74" spans="1:10" x14ac:dyDescent="0.25">
      <c r="A74" t="s">
        <v>249</v>
      </c>
      <c r="B74" t="s">
        <v>70</v>
      </c>
      <c r="C74" t="s">
        <v>69</v>
      </c>
      <c r="F74">
        <v>4</v>
      </c>
      <c r="G74">
        <v>0.1</v>
      </c>
      <c r="H74">
        <v>40</v>
      </c>
    </row>
    <row r="75" spans="1:10" x14ac:dyDescent="0.25">
      <c r="A75" t="s">
        <v>248</v>
      </c>
      <c r="B75" t="s">
        <v>46</v>
      </c>
      <c r="C75" t="s">
        <v>69</v>
      </c>
      <c r="D75">
        <v>5.2999999999999999E-2</v>
      </c>
      <c r="E75">
        <v>0.155</v>
      </c>
      <c r="F75">
        <v>0.3</v>
      </c>
      <c r="G75">
        <v>0.06</v>
      </c>
      <c r="H75">
        <v>5</v>
      </c>
    </row>
    <row r="76" spans="1:10" x14ac:dyDescent="0.25">
      <c r="A76" t="s">
        <v>690</v>
      </c>
      <c r="B76" t="s">
        <v>141</v>
      </c>
      <c r="C76" t="s">
        <v>69</v>
      </c>
      <c r="F76">
        <v>0.3</v>
      </c>
      <c r="G76">
        <v>0.12</v>
      </c>
      <c r="H76">
        <v>2.5</v>
      </c>
    </row>
    <row r="77" spans="1:10" x14ac:dyDescent="0.25">
      <c r="A77" t="s">
        <v>247</v>
      </c>
      <c r="B77" t="s">
        <v>46</v>
      </c>
      <c r="C77" t="s">
        <v>111</v>
      </c>
      <c r="D77">
        <v>6.0999999999999999E-2</v>
      </c>
      <c r="E77">
        <v>0.182</v>
      </c>
      <c r="F77">
        <v>500</v>
      </c>
      <c r="G77">
        <v>0.1</v>
      </c>
      <c r="H77">
        <v>5000</v>
      </c>
    </row>
    <row r="78" spans="1:10" x14ac:dyDescent="0.25">
      <c r="A78" t="s">
        <v>246</v>
      </c>
      <c r="B78" t="s">
        <v>59</v>
      </c>
      <c r="C78" t="s">
        <v>79</v>
      </c>
      <c r="F78">
        <v>10</v>
      </c>
      <c r="G78">
        <v>0.1</v>
      </c>
      <c r="H78">
        <v>100</v>
      </c>
      <c r="I78">
        <v>19</v>
      </c>
      <c r="J78">
        <v>12</v>
      </c>
    </row>
    <row r="79" spans="1:10" x14ac:dyDescent="0.25">
      <c r="A79" t="s">
        <v>245</v>
      </c>
      <c r="B79" t="s">
        <v>59</v>
      </c>
      <c r="C79" t="s">
        <v>149</v>
      </c>
      <c r="D79">
        <v>4.8000000000000001E-2</v>
      </c>
      <c r="E79">
        <v>5.2999999999999999E-2</v>
      </c>
      <c r="F79">
        <v>2</v>
      </c>
      <c r="G79">
        <v>0.6</v>
      </c>
      <c r="H79">
        <v>34</v>
      </c>
    </row>
    <row r="80" spans="1:10" x14ac:dyDescent="0.25">
      <c r="A80" t="s">
        <v>244</v>
      </c>
      <c r="B80" t="s">
        <v>70</v>
      </c>
      <c r="C80" t="s">
        <v>79</v>
      </c>
      <c r="F80">
        <v>75</v>
      </c>
      <c r="G80">
        <v>0.25</v>
      </c>
      <c r="H80">
        <v>300</v>
      </c>
    </row>
    <row r="81" spans="1:10" x14ac:dyDescent="0.25">
      <c r="A81" t="s">
        <v>243</v>
      </c>
      <c r="B81" t="s">
        <v>101</v>
      </c>
      <c r="C81" t="s">
        <v>69</v>
      </c>
      <c r="F81">
        <v>2</v>
      </c>
      <c r="G81">
        <v>0.05</v>
      </c>
      <c r="H81">
        <v>50</v>
      </c>
    </row>
    <row r="82" spans="1:10" x14ac:dyDescent="0.25">
      <c r="A82" t="s">
        <v>242</v>
      </c>
      <c r="B82" t="s">
        <v>46</v>
      </c>
      <c r="C82" t="s">
        <v>45</v>
      </c>
      <c r="D82">
        <v>7.8E-2</v>
      </c>
      <c r="E82">
        <v>0.13500000000000001</v>
      </c>
      <c r="F82">
        <v>1.6</v>
      </c>
      <c r="G82">
        <v>0.08</v>
      </c>
      <c r="H82">
        <v>20</v>
      </c>
    </row>
    <row r="83" spans="1:10" x14ac:dyDescent="0.25">
      <c r="A83" t="s">
        <v>241</v>
      </c>
      <c r="B83" t="s">
        <v>46</v>
      </c>
      <c r="C83" t="s">
        <v>54</v>
      </c>
      <c r="D83">
        <v>0.16200000000000001</v>
      </c>
      <c r="E83">
        <v>0.215</v>
      </c>
      <c r="F83">
        <v>15</v>
      </c>
      <c r="G83">
        <v>0.15</v>
      </c>
      <c r="H83">
        <v>100</v>
      </c>
    </row>
    <row r="84" spans="1:10" x14ac:dyDescent="0.25">
      <c r="A84" t="s">
        <v>240</v>
      </c>
      <c r="B84" t="s">
        <v>70</v>
      </c>
      <c r="C84" t="s">
        <v>54</v>
      </c>
      <c r="F84">
        <v>30</v>
      </c>
      <c r="G84">
        <v>0.15</v>
      </c>
      <c r="H84">
        <v>200</v>
      </c>
    </row>
    <row r="85" spans="1:10" x14ac:dyDescent="0.25">
      <c r="A85" t="s">
        <v>236</v>
      </c>
      <c r="B85" t="s">
        <v>46</v>
      </c>
      <c r="C85" t="s">
        <v>176</v>
      </c>
      <c r="D85">
        <v>0.14099999999999999</v>
      </c>
      <c r="E85">
        <v>0.32900000000000001</v>
      </c>
      <c r="F85">
        <v>15</v>
      </c>
      <c r="G85">
        <v>0.12</v>
      </c>
      <c r="H85">
        <v>125</v>
      </c>
    </row>
    <row r="86" spans="1:10" x14ac:dyDescent="0.25">
      <c r="A86" t="s">
        <v>235</v>
      </c>
      <c r="B86" t="s">
        <v>46</v>
      </c>
      <c r="C86" t="s">
        <v>79</v>
      </c>
      <c r="D86">
        <v>0.184</v>
      </c>
      <c r="E86">
        <v>0.61199999999999999</v>
      </c>
      <c r="F86">
        <v>3</v>
      </c>
      <c r="G86">
        <v>0.2</v>
      </c>
      <c r="H86">
        <v>15</v>
      </c>
    </row>
    <row r="87" spans="1:10" x14ac:dyDescent="0.25">
      <c r="A87" t="s">
        <v>234</v>
      </c>
      <c r="B87" t="s">
        <v>46</v>
      </c>
      <c r="C87" t="s">
        <v>45</v>
      </c>
      <c r="D87">
        <v>4.3999999999999997E-2</v>
      </c>
      <c r="E87">
        <v>0.158</v>
      </c>
      <c r="F87">
        <v>8</v>
      </c>
      <c r="G87">
        <v>0.08</v>
      </c>
      <c r="H87">
        <v>100</v>
      </c>
    </row>
    <row r="88" spans="1:10" x14ac:dyDescent="0.25">
      <c r="A88" t="s">
        <v>233</v>
      </c>
      <c r="B88" t="s">
        <v>59</v>
      </c>
      <c r="C88" t="s">
        <v>45</v>
      </c>
      <c r="D88">
        <v>4.3999999999999997E-2</v>
      </c>
      <c r="E88">
        <v>0.158</v>
      </c>
      <c r="F88">
        <v>8</v>
      </c>
      <c r="G88">
        <v>0.08</v>
      </c>
      <c r="H88">
        <v>100</v>
      </c>
    </row>
    <row r="89" spans="1:10" x14ac:dyDescent="0.25">
      <c r="A89" t="s">
        <v>232</v>
      </c>
      <c r="B89" t="s">
        <v>46</v>
      </c>
      <c r="C89" t="s">
        <v>45</v>
      </c>
      <c r="D89">
        <v>4.3999999999999997E-2</v>
      </c>
      <c r="E89">
        <v>0.158</v>
      </c>
      <c r="F89">
        <v>8</v>
      </c>
      <c r="G89">
        <v>0.08</v>
      </c>
      <c r="H89">
        <v>100</v>
      </c>
    </row>
    <row r="90" spans="1:10" x14ac:dyDescent="0.25">
      <c r="A90" t="s">
        <v>691</v>
      </c>
      <c r="B90" t="s">
        <v>141</v>
      </c>
      <c r="C90" t="s">
        <v>69</v>
      </c>
      <c r="F90">
        <v>16</v>
      </c>
      <c r="G90">
        <v>0.16</v>
      </c>
      <c r="H90">
        <v>100</v>
      </c>
    </row>
    <row r="91" spans="1:10" x14ac:dyDescent="0.25">
      <c r="A91" t="s">
        <v>231</v>
      </c>
      <c r="B91" t="s">
        <v>70</v>
      </c>
      <c r="C91" t="s">
        <v>69</v>
      </c>
      <c r="D91">
        <v>0.23200000000000001</v>
      </c>
      <c r="E91">
        <v>0.25700000000000001</v>
      </c>
      <c r="F91">
        <v>0.5</v>
      </c>
      <c r="G91">
        <v>0.1</v>
      </c>
      <c r="H91">
        <v>5</v>
      </c>
    </row>
    <row r="92" spans="1:10" x14ac:dyDescent="0.25">
      <c r="A92" t="s">
        <v>230</v>
      </c>
      <c r="B92" t="s">
        <v>46</v>
      </c>
      <c r="C92" t="s">
        <v>76</v>
      </c>
      <c r="D92">
        <v>0.14499999999999999</v>
      </c>
      <c r="E92">
        <v>0.44400000000000001</v>
      </c>
      <c r="F92">
        <v>10</v>
      </c>
      <c r="G92">
        <v>0.1</v>
      </c>
      <c r="H92">
        <v>100</v>
      </c>
    </row>
    <row r="93" spans="1:10" x14ac:dyDescent="0.25">
      <c r="A93" t="s">
        <v>229</v>
      </c>
      <c r="B93" t="s">
        <v>57</v>
      </c>
      <c r="C93" t="s">
        <v>52</v>
      </c>
      <c r="D93">
        <v>0.23300000000000001</v>
      </c>
      <c r="E93">
        <v>0.26500000000000001</v>
      </c>
      <c r="F93">
        <v>0.5</v>
      </c>
      <c r="G93">
        <v>0.5</v>
      </c>
      <c r="H93">
        <v>1</v>
      </c>
    </row>
    <row r="94" spans="1:10" x14ac:dyDescent="0.25">
      <c r="A94" t="s">
        <v>228</v>
      </c>
      <c r="B94" t="s">
        <v>46</v>
      </c>
      <c r="C94" t="s">
        <v>45</v>
      </c>
      <c r="D94">
        <v>0.2</v>
      </c>
      <c r="E94">
        <v>0.49</v>
      </c>
      <c r="F94">
        <v>1.2</v>
      </c>
      <c r="G94">
        <v>0.12</v>
      </c>
      <c r="H94">
        <v>10</v>
      </c>
    </row>
    <row r="95" spans="1:10" x14ac:dyDescent="0.25">
      <c r="A95" t="s">
        <v>227</v>
      </c>
      <c r="B95" t="s">
        <v>70</v>
      </c>
      <c r="C95" t="s">
        <v>54</v>
      </c>
      <c r="F95">
        <v>15</v>
      </c>
      <c r="G95">
        <v>0.15</v>
      </c>
      <c r="H95">
        <v>80</v>
      </c>
    </row>
    <row r="96" spans="1:10" x14ac:dyDescent="0.25">
      <c r="A96" t="s">
        <v>226</v>
      </c>
      <c r="B96" t="s">
        <v>46</v>
      </c>
      <c r="C96" t="s">
        <v>79</v>
      </c>
      <c r="F96">
        <v>0.2</v>
      </c>
      <c r="G96">
        <v>0.1</v>
      </c>
      <c r="H96">
        <v>1.6</v>
      </c>
      <c r="I96">
        <v>36</v>
      </c>
      <c r="J96">
        <v>24</v>
      </c>
    </row>
    <row r="97" spans="1:10" x14ac:dyDescent="0.25">
      <c r="A97" t="s">
        <v>225</v>
      </c>
      <c r="B97" t="s">
        <v>46</v>
      </c>
      <c r="C97" t="s">
        <v>54</v>
      </c>
      <c r="F97">
        <v>0.1</v>
      </c>
      <c r="G97">
        <v>0.15</v>
      </c>
      <c r="H97">
        <v>0.5</v>
      </c>
    </row>
    <row r="98" spans="1:10" x14ac:dyDescent="0.25">
      <c r="A98" t="s">
        <v>224</v>
      </c>
      <c r="B98" t="s">
        <v>70</v>
      </c>
      <c r="C98" t="s">
        <v>45</v>
      </c>
      <c r="F98">
        <v>0.2</v>
      </c>
      <c r="G98">
        <v>0.1</v>
      </c>
      <c r="H98">
        <v>2</v>
      </c>
    </row>
    <row r="99" spans="1:10" x14ac:dyDescent="0.25">
      <c r="A99" t="s">
        <v>223</v>
      </c>
      <c r="B99" t="s">
        <v>46</v>
      </c>
      <c r="C99" t="s">
        <v>69</v>
      </c>
      <c r="F99">
        <v>2</v>
      </c>
      <c r="G99">
        <v>0.1</v>
      </c>
      <c r="H99">
        <v>20</v>
      </c>
    </row>
    <row r="100" spans="1:10" x14ac:dyDescent="0.25">
      <c r="A100" t="s">
        <v>222</v>
      </c>
      <c r="B100" t="s">
        <v>46</v>
      </c>
      <c r="C100" t="s">
        <v>79</v>
      </c>
      <c r="F100">
        <v>0.5</v>
      </c>
      <c r="G100">
        <v>0.1</v>
      </c>
      <c r="H100">
        <v>5</v>
      </c>
      <c r="I100">
        <v>28</v>
      </c>
      <c r="J100">
        <v>12</v>
      </c>
    </row>
    <row r="101" spans="1:10" x14ac:dyDescent="0.25">
      <c r="A101" t="s">
        <v>221</v>
      </c>
      <c r="B101" t="s">
        <v>46</v>
      </c>
      <c r="C101" t="s">
        <v>79</v>
      </c>
      <c r="D101">
        <v>0.129</v>
      </c>
      <c r="E101">
        <v>0.15</v>
      </c>
      <c r="F101">
        <v>2</v>
      </c>
      <c r="G101">
        <v>0.15</v>
      </c>
      <c r="H101">
        <v>27</v>
      </c>
    </row>
    <row r="102" spans="1:10" x14ac:dyDescent="0.25">
      <c r="A102" t="s">
        <v>220</v>
      </c>
      <c r="B102" t="s">
        <v>57</v>
      </c>
      <c r="C102" t="s">
        <v>85</v>
      </c>
      <c r="D102">
        <v>0.10199999999999999</v>
      </c>
      <c r="E102">
        <v>0.17100000000000001</v>
      </c>
      <c r="F102">
        <v>0.2</v>
      </c>
      <c r="G102">
        <v>0.25</v>
      </c>
      <c r="H102">
        <v>1</v>
      </c>
    </row>
    <row r="103" spans="1:10" x14ac:dyDescent="0.25">
      <c r="A103" t="s">
        <v>678</v>
      </c>
      <c r="B103" t="s">
        <v>46</v>
      </c>
      <c r="C103" t="s">
        <v>76</v>
      </c>
      <c r="D103">
        <v>0.14000000000000001</v>
      </c>
      <c r="E103">
        <v>0.22500000000000001</v>
      </c>
      <c r="F103">
        <v>0.1</v>
      </c>
      <c r="G103">
        <v>0.17</v>
      </c>
      <c r="H103">
        <v>0.6</v>
      </c>
    </row>
    <row r="104" spans="1:10" x14ac:dyDescent="0.25">
      <c r="A104" t="s">
        <v>679</v>
      </c>
      <c r="B104" t="s">
        <v>46</v>
      </c>
      <c r="C104" t="s">
        <v>52</v>
      </c>
      <c r="F104">
        <v>2</v>
      </c>
      <c r="G104">
        <v>0.1</v>
      </c>
      <c r="H104">
        <v>20</v>
      </c>
      <c r="I104">
        <v>30</v>
      </c>
      <c r="J104">
        <v>24</v>
      </c>
    </row>
    <row r="105" spans="1:10" x14ac:dyDescent="0.25">
      <c r="A105" t="s">
        <v>680</v>
      </c>
      <c r="B105" t="s">
        <v>46</v>
      </c>
      <c r="C105" t="s">
        <v>52</v>
      </c>
      <c r="F105">
        <v>10</v>
      </c>
      <c r="G105">
        <v>0.1</v>
      </c>
      <c r="H105">
        <v>100</v>
      </c>
      <c r="I105">
        <v>3.6</v>
      </c>
      <c r="J105">
        <v>6</v>
      </c>
    </row>
    <row r="106" spans="1:10" x14ac:dyDescent="0.25">
      <c r="A106" t="s">
        <v>219</v>
      </c>
      <c r="B106" t="s">
        <v>46</v>
      </c>
      <c r="C106" t="s">
        <v>54</v>
      </c>
      <c r="D106">
        <v>0.112</v>
      </c>
      <c r="E106">
        <v>0.26500000000000001</v>
      </c>
      <c r="F106">
        <v>1.5</v>
      </c>
      <c r="G106">
        <v>0.25</v>
      </c>
      <c r="H106">
        <v>6</v>
      </c>
    </row>
    <row r="107" spans="1:10" x14ac:dyDescent="0.25">
      <c r="A107" t="s">
        <v>218</v>
      </c>
      <c r="B107" t="s">
        <v>59</v>
      </c>
      <c r="C107" t="s">
        <v>54</v>
      </c>
      <c r="F107">
        <v>80</v>
      </c>
      <c r="G107">
        <v>0.2</v>
      </c>
      <c r="H107">
        <v>400</v>
      </c>
    </row>
    <row r="108" spans="1:10" x14ac:dyDescent="0.25">
      <c r="A108" t="s">
        <v>217</v>
      </c>
      <c r="B108" t="s">
        <v>46</v>
      </c>
      <c r="C108" t="s">
        <v>173</v>
      </c>
      <c r="D108">
        <v>9.5000000000000001E-2</v>
      </c>
      <c r="E108">
        <v>0.379</v>
      </c>
      <c r="F108">
        <v>1</v>
      </c>
      <c r="G108">
        <v>0.1</v>
      </c>
      <c r="H108">
        <v>10</v>
      </c>
    </row>
    <row r="109" spans="1:10" x14ac:dyDescent="0.25">
      <c r="A109" t="s">
        <v>216</v>
      </c>
      <c r="B109" t="s">
        <v>46</v>
      </c>
      <c r="C109" t="s">
        <v>173</v>
      </c>
      <c r="D109">
        <v>3.7999999999999999E-2</v>
      </c>
      <c r="E109">
        <v>4.4999999999999998E-2</v>
      </c>
      <c r="F109">
        <v>1</v>
      </c>
      <c r="G109">
        <v>0.1</v>
      </c>
      <c r="H109">
        <v>10</v>
      </c>
    </row>
    <row r="110" spans="1:10" x14ac:dyDescent="0.25">
      <c r="A110" t="s">
        <v>215</v>
      </c>
      <c r="B110" t="s">
        <v>46</v>
      </c>
      <c r="C110" t="s">
        <v>45</v>
      </c>
      <c r="D110">
        <v>2.3E-2</v>
      </c>
      <c r="E110">
        <v>6.3E-2</v>
      </c>
      <c r="F110">
        <v>15</v>
      </c>
      <c r="G110">
        <v>0.06</v>
      </c>
      <c r="H110">
        <v>250</v>
      </c>
    </row>
    <row r="111" spans="1:10" x14ac:dyDescent="0.25">
      <c r="A111" t="s">
        <v>214</v>
      </c>
      <c r="B111" t="s">
        <v>46</v>
      </c>
      <c r="C111" t="s">
        <v>176</v>
      </c>
      <c r="D111">
        <v>8.3000000000000004E-2</v>
      </c>
      <c r="E111">
        <v>0.45100000000000001</v>
      </c>
      <c r="F111">
        <v>5</v>
      </c>
      <c r="G111">
        <v>0.12</v>
      </c>
      <c r="H111">
        <v>40</v>
      </c>
    </row>
    <row r="112" spans="1:10" x14ac:dyDescent="0.25">
      <c r="A112" t="s">
        <v>213</v>
      </c>
      <c r="B112" t="s">
        <v>46</v>
      </c>
      <c r="C112" t="s">
        <v>62</v>
      </c>
      <c r="F112">
        <v>10</v>
      </c>
      <c r="G112">
        <v>0.1</v>
      </c>
      <c r="H112">
        <v>100</v>
      </c>
    </row>
    <row r="113" spans="1:10" x14ac:dyDescent="0.25">
      <c r="A113" t="s">
        <v>212</v>
      </c>
      <c r="B113" t="s">
        <v>46</v>
      </c>
      <c r="C113" t="s">
        <v>52</v>
      </c>
      <c r="F113">
        <v>0.2</v>
      </c>
      <c r="G113">
        <v>0.1</v>
      </c>
      <c r="H113">
        <v>2</v>
      </c>
      <c r="I113">
        <v>3</v>
      </c>
      <c r="J113">
        <v>8</v>
      </c>
    </row>
    <row r="114" spans="1:10" x14ac:dyDescent="0.25">
      <c r="A114" t="s">
        <v>211</v>
      </c>
      <c r="B114" t="s">
        <v>59</v>
      </c>
      <c r="C114" t="s">
        <v>69</v>
      </c>
      <c r="D114">
        <v>4.7E-2</v>
      </c>
      <c r="E114">
        <v>0.08</v>
      </c>
      <c r="F114">
        <v>0.4</v>
      </c>
      <c r="G114">
        <v>0.08</v>
      </c>
      <c r="H114">
        <v>5</v>
      </c>
    </row>
    <row r="115" spans="1:10" x14ac:dyDescent="0.25">
      <c r="A115" t="s">
        <v>210</v>
      </c>
      <c r="B115" t="s">
        <v>59</v>
      </c>
      <c r="C115" t="s">
        <v>69</v>
      </c>
      <c r="D115">
        <v>4.7E-2</v>
      </c>
      <c r="E115">
        <v>0.08</v>
      </c>
      <c r="F115">
        <v>0.4</v>
      </c>
      <c r="G115">
        <v>0.08</v>
      </c>
      <c r="H115">
        <v>5</v>
      </c>
    </row>
    <row r="116" spans="1:10" x14ac:dyDescent="0.25">
      <c r="A116" t="s">
        <v>209</v>
      </c>
      <c r="B116" t="s">
        <v>49</v>
      </c>
      <c r="C116" t="s">
        <v>69</v>
      </c>
      <c r="F116">
        <v>0.2</v>
      </c>
      <c r="G116">
        <v>0.1</v>
      </c>
      <c r="H116">
        <v>2</v>
      </c>
    </row>
    <row r="117" spans="1:10" x14ac:dyDescent="0.25">
      <c r="A117" t="s">
        <v>692</v>
      </c>
      <c r="B117" t="s">
        <v>141</v>
      </c>
      <c r="C117" t="s">
        <v>69</v>
      </c>
      <c r="F117">
        <v>0.4</v>
      </c>
      <c r="G117">
        <v>0.08</v>
      </c>
      <c r="H117">
        <v>5</v>
      </c>
    </row>
    <row r="118" spans="1:10" x14ac:dyDescent="0.25">
      <c r="A118" t="s">
        <v>208</v>
      </c>
      <c r="B118" t="s">
        <v>70</v>
      </c>
      <c r="C118" t="s">
        <v>69</v>
      </c>
      <c r="F118">
        <v>1</v>
      </c>
      <c r="G118">
        <v>0.1</v>
      </c>
      <c r="H118">
        <v>10</v>
      </c>
    </row>
    <row r="119" spans="1:10" x14ac:dyDescent="0.25">
      <c r="A119" t="s">
        <v>207</v>
      </c>
      <c r="B119" t="s">
        <v>46</v>
      </c>
      <c r="C119" t="s">
        <v>118</v>
      </c>
      <c r="F119">
        <v>1</v>
      </c>
      <c r="G119">
        <v>0.15</v>
      </c>
      <c r="H119">
        <v>7</v>
      </c>
    </row>
    <row r="120" spans="1:10" x14ac:dyDescent="0.25">
      <c r="A120" t="s">
        <v>206</v>
      </c>
      <c r="B120" t="s">
        <v>59</v>
      </c>
      <c r="C120" t="s">
        <v>147</v>
      </c>
      <c r="D120">
        <v>2.3E-2</v>
      </c>
      <c r="E120">
        <v>5.5E-2</v>
      </c>
      <c r="F120">
        <v>4</v>
      </c>
      <c r="G120">
        <v>0.2</v>
      </c>
      <c r="H120">
        <v>20</v>
      </c>
    </row>
    <row r="121" spans="1:10" x14ac:dyDescent="0.25">
      <c r="A121" t="s">
        <v>205</v>
      </c>
      <c r="B121" t="s">
        <v>46</v>
      </c>
      <c r="C121" t="s">
        <v>85</v>
      </c>
      <c r="D121">
        <v>8.7099999999999997E-2</v>
      </c>
      <c r="E121">
        <v>7.0999999999999994E-2</v>
      </c>
      <c r="F121">
        <v>0.08</v>
      </c>
      <c r="G121">
        <v>0.1</v>
      </c>
      <c r="H121">
        <v>0.8</v>
      </c>
    </row>
    <row r="122" spans="1:10" x14ac:dyDescent="0.25">
      <c r="A122" t="s">
        <v>204</v>
      </c>
      <c r="B122" t="s">
        <v>59</v>
      </c>
      <c r="C122" t="s">
        <v>85</v>
      </c>
      <c r="D122">
        <v>0.03</v>
      </c>
      <c r="E122">
        <v>7.0000000000000007E-2</v>
      </c>
      <c r="F122">
        <v>5</v>
      </c>
      <c r="G122">
        <v>0.05</v>
      </c>
      <c r="H122">
        <v>100</v>
      </c>
    </row>
    <row r="123" spans="1:10" x14ac:dyDescent="0.25">
      <c r="A123" t="s">
        <v>203</v>
      </c>
      <c r="B123" t="s">
        <v>46</v>
      </c>
      <c r="C123" t="s">
        <v>85</v>
      </c>
      <c r="D123">
        <v>8.5999999999999993E-2</v>
      </c>
      <c r="E123">
        <v>0.39</v>
      </c>
      <c r="F123">
        <v>0.1</v>
      </c>
      <c r="G123">
        <v>0.1</v>
      </c>
      <c r="H123">
        <v>0.8</v>
      </c>
    </row>
    <row r="124" spans="1:10" x14ac:dyDescent="0.25">
      <c r="A124" t="s">
        <v>202</v>
      </c>
      <c r="B124" t="s">
        <v>59</v>
      </c>
      <c r="C124" t="s">
        <v>201</v>
      </c>
      <c r="D124">
        <v>1.7000000000000001E-2</v>
      </c>
      <c r="E124">
        <v>7.1999999999999995E-2</v>
      </c>
      <c r="F124">
        <v>4</v>
      </c>
      <c r="G124">
        <v>0.08</v>
      </c>
      <c r="H124">
        <v>45</v>
      </c>
    </row>
    <row r="125" spans="1:10" x14ac:dyDescent="0.25">
      <c r="A125" t="s">
        <v>200</v>
      </c>
      <c r="B125" t="s">
        <v>59</v>
      </c>
      <c r="C125" t="s">
        <v>147</v>
      </c>
      <c r="D125">
        <v>1.2E-2</v>
      </c>
      <c r="E125">
        <v>5.3999999999999999E-2</v>
      </c>
      <c r="F125">
        <v>0.4</v>
      </c>
      <c r="G125">
        <v>0.06</v>
      </c>
      <c r="H125">
        <v>6.7</v>
      </c>
    </row>
    <row r="126" spans="1:10" x14ac:dyDescent="0.25">
      <c r="A126" t="s">
        <v>199</v>
      </c>
      <c r="B126" t="s">
        <v>46</v>
      </c>
      <c r="C126" t="s">
        <v>69</v>
      </c>
      <c r="D126">
        <v>5.7000000000000002E-2</v>
      </c>
      <c r="E126">
        <v>0.22800000000000001</v>
      </c>
      <c r="F126">
        <v>0.1</v>
      </c>
      <c r="G126">
        <v>0.12</v>
      </c>
      <c r="H126">
        <v>0.8</v>
      </c>
    </row>
    <row r="127" spans="1:10" x14ac:dyDescent="0.25">
      <c r="A127" t="s">
        <v>198</v>
      </c>
      <c r="B127" t="s">
        <v>63</v>
      </c>
      <c r="C127" t="s">
        <v>62</v>
      </c>
      <c r="D127">
        <v>0.16</v>
      </c>
      <c r="E127">
        <v>0.35</v>
      </c>
      <c r="F127">
        <v>5</v>
      </c>
      <c r="G127">
        <v>0.15</v>
      </c>
      <c r="H127">
        <v>35</v>
      </c>
    </row>
    <row r="128" spans="1:10" x14ac:dyDescent="0.25">
      <c r="A128" t="s">
        <v>197</v>
      </c>
      <c r="B128" t="s">
        <v>46</v>
      </c>
      <c r="C128" t="s">
        <v>45</v>
      </c>
      <c r="D128">
        <v>6.0999999999999999E-2</v>
      </c>
      <c r="E128">
        <v>0.27300000000000002</v>
      </c>
      <c r="F128">
        <v>1.5</v>
      </c>
      <c r="G128">
        <v>0.1</v>
      </c>
      <c r="H128">
        <v>15</v>
      </c>
    </row>
    <row r="129" spans="1:8" x14ac:dyDescent="0.25">
      <c r="A129" t="s">
        <v>196</v>
      </c>
      <c r="B129" t="s">
        <v>70</v>
      </c>
      <c r="C129" t="s">
        <v>45</v>
      </c>
      <c r="D129">
        <v>0.41</v>
      </c>
      <c r="E129">
        <v>0.71299999999999997</v>
      </c>
      <c r="F129">
        <v>6</v>
      </c>
      <c r="G129">
        <v>0.15</v>
      </c>
      <c r="H129">
        <v>40</v>
      </c>
    </row>
    <row r="130" spans="1:8" x14ac:dyDescent="0.25">
      <c r="A130" t="s">
        <v>195</v>
      </c>
      <c r="B130" t="s">
        <v>46</v>
      </c>
      <c r="C130" t="s">
        <v>176</v>
      </c>
      <c r="F130">
        <v>1</v>
      </c>
      <c r="G130">
        <v>0.1</v>
      </c>
      <c r="H130">
        <v>10</v>
      </c>
    </row>
    <row r="131" spans="1:8" x14ac:dyDescent="0.25">
      <c r="A131" t="s">
        <v>194</v>
      </c>
      <c r="B131" t="s">
        <v>46</v>
      </c>
      <c r="C131" t="s">
        <v>62</v>
      </c>
      <c r="D131">
        <v>7.0999999999999994E-2</v>
      </c>
      <c r="E131">
        <v>0.17899999999999999</v>
      </c>
      <c r="F131">
        <v>10</v>
      </c>
      <c r="G131">
        <v>0.15</v>
      </c>
      <c r="H131">
        <v>150</v>
      </c>
    </row>
    <row r="132" spans="1:8" x14ac:dyDescent="0.25">
      <c r="A132" t="s">
        <v>193</v>
      </c>
      <c r="B132" t="s">
        <v>70</v>
      </c>
      <c r="C132" t="s">
        <v>45</v>
      </c>
      <c r="F132">
        <v>8</v>
      </c>
      <c r="G132">
        <v>0.2</v>
      </c>
      <c r="H132">
        <v>40</v>
      </c>
    </row>
    <row r="133" spans="1:8" x14ac:dyDescent="0.25">
      <c r="A133" t="s">
        <v>681</v>
      </c>
      <c r="B133" t="s">
        <v>46</v>
      </c>
      <c r="C133" t="s">
        <v>52</v>
      </c>
      <c r="F133">
        <v>0.2</v>
      </c>
      <c r="G133">
        <v>0.1</v>
      </c>
      <c r="H133">
        <v>2</v>
      </c>
    </row>
    <row r="134" spans="1:8" x14ac:dyDescent="0.25">
      <c r="A134" t="s">
        <v>682</v>
      </c>
      <c r="B134" t="s">
        <v>70</v>
      </c>
      <c r="C134" t="s">
        <v>45</v>
      </c>
      <c r="F134">
        <v>6</v>
      </c>
      <c r="G134">
        <v>0.15</v>
      </c>
      <c r="H134">
        <v>40</v>
      </c>
    </row>
    <row r="135" spans="1:8" x14ac:dyDescent="0.25">
      <c r="A135" t="s">
        <v>192</v>
      </c>
      <c r="B135" t="s">
        <v>46</v>
      </c>
      <c r="C135" t="s">
        <v>52</v>
      </c>
      <c r="D135">
        <v>0.10100000000000001</v>
      </c>
      <c r="E135">
        <v>0.63900000000000001</v>
      </c>
      <c r="F135">
        <v>0.46</v>
      </c>
      <c r="G135">
        <v>0.15</v>
      </c>
      <c r="H135">
        <v>2.88</v>
      </c>
    </row>
    <row r="136" spans="1:8" x14ac:dyDescent="0.25">
      <c r="A136" t="s">
        <v>706</v>
      </c>
      <c r="B136" t="s">
        <v>46</v>
      </c>
      <c r="C136" t="s">
        <v>54</v>
      </c>
      <c r="D136">
        <v>0.10100000000000001</v>
      </c>
      <c r="E136">
        <v>639</v>
      </c>
      <c r="F136">
        <v>15</v>
      </c>
      <c r="G136">
        <v>0.15</v>
      </c>
      <c r="H136">
        <v>100</v>
      </c>
    </row>
    <row r="137" spans="1:8" x14ac:dyDescent="0.25">
      <c r="A137" t="s">
        <v>191</v>
      </c>
      <c r="B137" t="s">
        <v>46</v>
      </c>
      <c r="C137" t="s">
        <v>85</v>
      </c>
      <c r="D137">
        <v>7.4999999999999997E-2</v>
      </c>
      <c r="E137">
        <v>0.32500000000000001</v>
      </c>
      <c r="F137">
        <v>0.06</v>
      </c>
      <c r="G137">
        <v>0.1</v>
      </c>
      <c r="H137">
        <v>0.6</v>
      </c>
    </row>
    <row r="138" spans="1:8" x14ac:dyDescent="0.25">
      <c r="A138" t="s">
        <v>190</v>
      </c>
      <c r="B138" t="s">
        <v>46</v>
      </c>
      <c r="C138" t="s">
        <v>85</v>
      </c>
      <c r="D138">
        <v>3.5000000000000003E-2</v>
      </c>
      <c r="E138">
        <v>0.17100000000000001</v>
      </c>
      <c r="F138">
        <v>0.6</v>
      </c>
      <c r="G138">
        <v>0.1</v>
      </c>
      <c r="H138">
        <v>6</v>
      </c>
    </row>
    <row r="139" spans="1:8" x14ac:dyDescent="0.25">
      <c r="A139" t="s">
        <v>189</v>
      </c>
      <c r="B139" t="s">
        <v>49</v>
      </c>
      <c r="C139" t="s">
        <v>85</v>
      </c>
      <c r="F139">
        <v>0.02</v>
      </c>
      <c r="G139">
        <v>0.2</v>
      </c>
      <c r="H139">
        <v>0.1</v>
      </c>
    </row>
    <row r="140" spans="1:8" x14ac:dyDescent="0.25">
      <c r="A140" t="s">
        <v>188</v>
      </c>
      <c r="B140" t="s">
        <v>46</v>
      </c>
      <c r="C140" t="s">
        <v>85</v>
      </c>
      <c r="D140">
        <v>5.8999999999999997E-2</v>
      </c>
      <c r="E140">
        <v>0.48499999999999999</v>
      </c>
      <c r="F140">
        <v>0.08</v>
      </c>
      <c r="G140">
        <v>0.15</v>
      </c>
      <c r="H140">
        <v>0.5</v>
      </c>
    </row>
    <row r="141" spans="1:8" x14ac:dyDescent="0.25">
      <c r="A141" t="s">
        <v>187</v>
      </c>
      <c r="B141" t="s">
        <v>46</v>
      </c>
      <c r="C141" t="s">
        <v>118</v>
      </c>
      <c r="D141">
        <v>0.254</v>
      </c>
      <c r="E141">
        <v>0.33500000000000002</v>
      </c>
      <c r="F141">
        <v>0.6</v>
      </c>
      <c r="G141">
        <v>0.12</v>
      </c>
      <c r="H141">
        <v>5</v>
      </c>
    </row>
    <row r="142" spans="1:8" x14ac:dyDescent="0.25">
      <c r="A142" t="s">
        <v>186</v>
      </c>
      <c r="B142" t="s">
        <v>46</v>
      </c>
      <c r="C142" t="s">
        <v>79</v>
      </c>
      <c r="D142">
        <v>9.4E-2</v>
      </c>
      <c r="E142">
        <v>0.27</v>
      </c>
      <c r="F142">
        <v>23</v>
      </c>
      <c r="G142">
        <v>0.12</v>
      </c>
      <c r="H142">
        <v>191</v>
      </c>
    </row>
    <row r="143" spans="1:8" x14ac:dyDescent="0.25">
      <c r="A143" t="s">
        <v>185</v>
      </c>
      <c r="B143" t="s">
        <v>46</v>
      </c>
      <c r="C143" t="s">
        <v>54</v>
      </c>
      <c r="D143">
        <v>9.4E-2</v>
      </c>
      <c r="E143">
        <v>0.27</v>
      </c>
      <c r="F143">
        <v>3</v>
      </c>
      <c r="G143">
        <v>0.12</v>
      </c>
      <c r="H143">
        <v>25</v>
      </c>
    </row>
    <row r="144" spans="1:8" x14ac:dyDescent="0.25">
      <c r="A144" t="s">
        <v>184</v>
      </c>
      <c r="B144" t="s">
        <v>46</v>
      </c>
      <c r="C144" t="s">
        <v>45</v>
      </c>
      <c r="D144">
        <v>0.252</v>
      </c>
      <c r="E144">
        <v>0.28000000000000003</v>
      </c>
      <c r="F144">
        <v>3</v>
      </c>
      <c r="G144">
        <v>0.12</v>
      </c>
      <c r="H144">
        <v>25</v>
      </c>
    </row>
    <row r="145" spans="1:10" x14ac:dyDescent="0.25">
      <c r="A145" t="s">
        <v>183</v>
      </c>
      <c r="B145" t="s">
        <v>46</v>
      </c>
      <c r="C145" t="s">
        <v>52</v>
      </c>
      <c r="F145">
        <v>0.1</v>
      </c>
      <c r="G145">
        <v>0.1</v>
      </c>
      <c r="H145">
        <v>1</v>
      </c>
      <c r="I145">
        <v>38</v>
      </c>
      <c r="J145">
        <v>12</v>
      </c>
    </row>
    <row r="146" spans="1:10" x14ac:dyDescent="0.25">
      <c r="A146" t="s">
        <v>182</v>
      </c>
      <c r="B146" t="s">
        <v>46</v>
      </c>
      <c r="C146" t="s">
        <v>69</v>
      </c>
      <c r="D146">
        <v>0.27200000000000002</v>
      </c>
      <c r="E146">
        <v>0.16700000000000001</v>
      </c>
      <c r="F146">
        <v>0.5</v>
      </c>
      <c r="G146">
        <v>0.12</v>
      </c>
      <c r="H146">
        <v>4</v>
      </c>
    </row>
    <row r="147" spans="1:10" x14ac:dyDescent="0.25">
      <c r="A147" t="s">
        <v>181</v>
      </c>
      <c r="B147" t="s">
        <v>59</v>
      </c>
      <c r="C147" t="s">
        <v>69</v>
      </c>
      <c r="D147">
        <v>0.27200000000000002</v>
      </c>
      <c r="E147">
        <v>0.16700000000000001</v>
      </c>
      <c r="F147">
        <v>0.5</v>
      </c>
      <c r="G147">
        <v>0.12</v>
      </c>
      <c r="H147">
        <v>4</v>
      </c>
    </row>
    <row r="148" spans="1:10" x14ac:dyDescent="0.25">
      <c r="A148" t="s">
        <v>180</v>
      </c>
      <c r="B148" t="s">
        <v>49</v>
      </c>
      <c r="C148" t="s">
        <v>69</v>
      </c>
      <c r="F148">
        <v>0.3</v>
      </c>
      <c r="G148">
        <v>0.1</v>
      </c>
      <c r="H148">
        <v>3</v>
      </c>
    </row>
    <row r="149" spans="1:10" x14ac:dyDescent="0.25">
      <c r="A149" t="s">
        <v>693</v>
      </c>
      <c r="B149" t="s">
        <v>141</v>
      </c>
      <c r="C149" t="s">
        <v>69</v>
      </c>
      <c r="F149">
        <v>1</v>
      </c>
      <c r="G149">
        <v>0.25</v>
      </c>
      <c r="H149">
        <v>4</v>
      </c>
    </row>
    <row r="150" spans="1:10" x14ac:dyDescent="0.25">
      <c r="A150" t="s">
        <v>179</v>
      </c>
      <c r="B150" t="s">
        <v>46</v>
      </c>
      <c r="C150" t="s">
        <v>176</v>
      </c>
      <c r="D150">
        <v>4.3999999999999997E-2</v>
      </c>
      <c r="E150">
        <v>0.11799999999999999</v>
      </c>
      <c r="F150">
        <v>20</v>
      </c>
      <c r="G150">
        <v>0.08</v>
      </c>
      <c r="H150">
        <v>250</v>
      </c>
    </row>
    <row r="151" spans="1:10" x14ac:dyDescent="0.25">
      <c r="A151" t="s">
        <v>694</v>
      </c>
      <c r="B151" t="s">
        <v>141</v>
      </c>
      <c r="C151" t="s">
        <v>176</v>
      </c>
      <c r="F151">
        <v>20</v>
      </c>
      <c r="G151">
        <v>0.08</v>
      </c>
      <c r="H151">
        <v>250</v>
      </c>
    </row>
    <row r="152" spans="1:10" x14ac:dyDescent="0.25">
      <c r="A152" t="s">
        <v>178</v>
      </c>
      <c r="B152" t="s">
        <v>46</v>
      </c>
      <c r="C152" t="s">
        <v>69</v>
      </c>
      <c r="D152">
        <v>7.3999999999999996E-2</v>
      </c>
      <c r="E152">
        <v>0.24299999999999999</v>
      </c>
      <c r="F152">
        <v>0.2</v>
      </c>
      <c r="G152">
        <v>0.1</v>
      </c>
      <c r="H152">
        <v>2</v>
      </c>
    </row>
    <row r="153" spans="1:10" x14ac:dyDescent="0.25">
      <c r="A153" t="s">
        <v>177</v>
      </c>
      <c r="B153" t="s">
        <v>46</v>
      </c>
      <c r="C153" t="s">
        <v>176</v>
      </c>
      <c r="D153">
        <v>7.5999999999999998E-2</v>
      </c>
      <c r="E153">
        <v>0.24</v>
      </c>
      <c r="F153">
        <v>12</v>
      </c>
      <c r="G153">
        <v>0.2</v>
      </c>
      <c r="H153">
        <v>60</v>
      </c>
    </row>
    <row r="154" spans="1:10" x14ac:dyDescent="0.25">
      <c r="A154" t="s">
        <v>695</v>
      </c>
      <c r="B154" t="s">
        <v>141</v>
      </c>
      <c r="C154" t="s">
        <v>176</v>
      </c>
      <c r="F154">
        <v>24</v>
      </c>
      <c r="G154">
        <v>0.4</v>
      </c>
      <c r="H154">
        <v>60</v>
      </c>
    </row>
    <row r="155" spans="1:10" x14ac:dyDescent="0.25">
      <c r="A155" t="s">
        <v>175</v>
      </c>
      <c r="B155" t="s">
        <v>46</v>
      </c>
      <c r="C155" t="s">
        <v>85</v>
      </c>
      <c r="D155">
        <v>0.10199999999999999</v>
      </c>
      <c r="E155">
        <v>0.85799999999999998</v>
      </c>
      <c r="F155">
        <v>0.06</v>
      </c>
      <c r="G155">
        <v>0.2</v>
      </c>
      <c r="H155">
        <v>0.3</v>
      </c>
    </row>
    <row r="156" spans="1:10" x14ac:dyDescent="0.25">
      <c r="A156" t="s">
        <v>174</v>
      </c>
      <c r="B156" t="s">
        <v>46</v>
      </c>
      <c r="C156" t="s">
        <v>69</v>
      </c>
      <c r="F156">
        <v>0.2</v>
      </c>
      <c r="G156">
        <v>0.1</v>
      </c>
      <c r="H156">
        <v>2</v>
      </c>
      <c r="I156">
        <v>24</v>
      </c>
      <c r="J156">
        <v>12</v>
      </c>
    </row>
    <row r="157" spans="1:10" x14ac:dyDescent="0.25">
      <c r="A157" t="s">
        <v>707</v>
      </c>
      <c r="B157" t="s">
        <v>46</v>
      </c>
      <c r="C157" t="s">
        <v>173</v>
      </c>
      <c r="D157">
        <v>0.252</v>
      </c>
      <c r="E157">
        <v>0.214</v>
      </c>
      <c r="F157">
        <v>1.5</v>
      </c>
      <c r="G157">
        <v>0.15</v>
      </c>
      <c r="H157">
        <v>10</v>
      </c>
    </row>
    <row r="158" spans="1:10" x14ac:dyDescent="0.25">
      <c r="A158" t="s">
        <v>172</v>
      </c>
      <c r="B158" t="s">
        <v>46</v>
      </c>
      <c r="C158" t="s">
        <v>69</v>
      </c>
      <c r="D158">
        <v>2.7E-2</v>
      </c>
      <c r="E158">
        <v>5.8999999999999997E-2</v>
      </c>
      <c r="F158">
        <v>0.1</v>
      </c>
      <c r="G158">
        <v>0.08</v>
      </c>
      <c r="H158">
        <v>1.25</v>
      </c>
    </row>
    <row r="159" spans="1:10" x14ac:dyDescent="0.25">
      <c r="A159" t="s">
        <v>171</v>
      </c>
      <c r="B159" t="s">
        <v>70</v>
      </c>
      <c r="C159" t="s">
        <v>69</v>
      </c>
      <c r="D159">
        <v>0.38300000000000001</v>
      </c>
      <c r="E159">
        <v>0.376</v>
      </c>
      <c r="F159">
        <v>0.3</v>
      </c>
      <c r="G159">
        <v>0.15</v>
      </c>
      <c r="H159">
        <v>2</v>
      </c>
    </row>
    <row r="160" spans="1:10" x14ac:dyDescent="0.25">
      <c r="A160" t="s">
        <v>170</v>
      </c>
      <c r="B160" t="s">
        <v>57</v>
      </c>
      <c r="C160" t="s">
        <v>62</v>
      </c>
      <c r="F160">
        <v>75</v>
      </c>
      <c r="G160">
        <v>0.15</v>
      </c>
      <c r="H160">
        <v>500</v>
      </c>
    </row>
    <row r="161" spans="1:10" x14ac:dyDescent="0.25">
      <c r="A161" t="s">
        <v>169</v>
      </c>
      <c r="B161" t="s">
        <v>70</v>
      </c>
      <c r="C161" t="s">
        <v>45</v>
      </c>
      <c r="D161">
        <v>0.46300000000000002</v>
      </c>
      <c r="E161">
        <v>0.76800000000000002</v>
      </c>
      <c r="F161">
        <v>0.2</v>
      </c>
      <c r="G161">
        <v>0.2</v>
      </c>
      <c r="H161">
        <v>1</v>
      </c>
    </row>
    <row r="162" spans="1:10" x14ac:dyDescent="0.25">
      <c r="A162" t="s">
        <v>168</v>
      </c>
      <c r="B162" t="s">
        <v>70</v>
      </c>
      <c r="C162" t="s">
        <v>79</v>
      </c>
      <c r="F162">
        <v>25</v>
      </c>
      <c r="G162">
        <v>0.25</v>
      </c>
      <c r="H162">
        <v>100</v>
      </c>
    </row>
    <row r="163" spans="1:10" x14ac:dyDescent="0.25">
      <c r="A163" t="s">
        <v>167</v>
      </c>
      <c r="B163" t="s">
        <v>59</v>
      </c>
      <c r="C163" t="s">
        <v>147</v>
      </c>
      <c r="F163">
        <v>2</v>
      </c>
      <c r="G163">
        <v>0.2</v>
      </c>
      <c r="H163">
        <v>10</v>
      </c>
    </row>
    <row r="164" spans="1:10" x14ac:dyDescent="0.25">
      <c r="A164" t="s">
        <v>166</v>
      </c>
      <c r="B164" t="s">
        <v>46</v>
      </c>
      <c r="C164" t="s">
        <v>45</v>
      </c>
      <c r="F164">
        <v>0.1</v>
      </c>
      <c r="G164">
        <v>0.1</v>
      </c>
      <c r="H164">
        <v>1</v>
      </c>
      <c r="I164">
        <v>8</v>
      </c>
      <c r="J164">
        <v>24</v>
      </c>
    </row>
    <row r="165" spans="1:10" x14ac:dyDescent="0.25">
      <c r="A165" t="s">
        <v>165</v>
      </c>
      <c r="B165" t="s">
        <v>57</v>
      </c>
      <c r="C165" t="s">
        <v>62</v>
      </c>
      <c r="F165">
        <v>36</v>
      </c>
      <c r="G165">
        <v>0.3</v>
      </c>
      <c r="H165">
        <v>120</v>
      </c>
    </row>
    <row r="166" spans="1:10" x14ac:dyDescent="0.25">
      <c r="A166" t="s">
        <v>164</v>
      </c>
      <c r="B166" t="s">
        <v>46</v>
      </c>
      <c r="C166" t="s">
        <v>52</v>
      </c>
      <c r="F166">
        <v>0.1</v>
      </c>
      <c r="G166">
        <v>0.1</v>
      </c>
      <c r="H166">
        <v>1</v>
      </c>
    </row>
    <row r="167" spans="1:10" x14ac:dyDescent="0.25">
      <c r="A167" t="s">
        <v>159</v>
      </c>
      <c r="B167" t="s">
        <v>70</v>
      </c>
      <c r="C167" t="s">
        <v>158</v>
      </c>
      <c r="F167">
        <v>80</v>
      </c>
      <c r="G167">
        <v>0.1</v>
      </c>
      <c r="H167">
        <v>700</v>
      </c>
    </row>
    <row r="168" spans="1:10" x14ac:dyDescent="0.25">
      <c r="A168" t="s">
        <v>157</v>
      </c>
      <c r="B168" t="s">
        <v>46</v>
      </c>
      <c r="C168" t="s">
        <v>76</v>
      </c>
      <c r="D168">
        <v>0.20799999999999999</v>
      </c>
      <c r="E168">
        <v>0.36199999999999999</v>
      </c>
      <c r="F168">
        <v>25</v>
      </c>
      <c r="G168">
        <v>0.2</v>
      </c>
      <c r="H168">
        <v>125</v>
      </c>
    </row>
    <row r="169" spans="1:10" x14ac:dyDescent="0.25">
      <c r="A169" t="s">
        <v>163</v>
      </c>
      <c r="B169" t="s">
        <v>46</v>
      </c>
      <c r="C169" t="s">
        <v>79</v>
      </c>
      <c r="D169">
        <v>0.109</v>
      </c>
      <c r="E169">
        <v>0.16600000000000001</v>
      </c>
      <c r="F169">
        <v>2</v>
      </c>
      <c r="G169">
        <v>0.1</v>
      </c>
      <c r="H169">
        <v>20</v>
      </c>
    </row>
    <row r="170" spans="1:10" x14ac:dyDescent="0.25">
      <c r="A170" t="s">
        <v>683</v>
      </c>
      <c r="B170" t="s">
        <v>70</v>
      </c>
      <c r="C170" t="s">
        <v>54</v>
      </c>
      <c r="F170">
        <v>75</v>
      </c>
      <c r="G170">
        <v>0.15</v>
      </c>
      <c r="H170">
        <v>500</v>
      </c>
    </row>
    <row r="171" spans="1:10" x14ac:dyDescent="0.25">
      <c r="A171" t="s">
        <v>162</v>
      </c>
      <c r="B171" t="s">
        <v>57</v>
      </c>
      <c r="C171" t="s">
        <v>62</v>
      </c>
      <c r="F171">
        <v>200</v>
      </c>
      <c r="G171">
        <v>0.2</v>
      </c>
      <c r="H171">
        <v>1000</v>
      </c>
    </row>
    <row r="172" spans="1:10" x14ac:dyDescent="0.25">
      <c r="A172" t="s">
        <v>161</v>
      </c>
      <c r="B172" t="s">
        <v>70</v>
      </c>
      <c r="C172" t="s">
        <v>45</v>
      </c>
      <c r="F172">
        <v>0.4</v>
      </c>
      <c r="G172">
        <v>0.2</v>
      </c>
      <c r="H172">
        <v>2</v>
      </c>
    </row>
    <row r="173" spans="1:10" x14ac:dyDescent="0.25">
      <c r="A173" t="s">
        <v>160</v>
      </c>
      <c r="B173" t="s">
        <v>46</v>
      </c>
      <c r="C173" t="s">
        <v>79</v>
      </c>
      <c r="F173">
        <v>3</v>
      </c>
      <c r="G173">
        <v>0.1</v>
      </c>
      <c r="H173">
        <v>26</v>
      </c>
    </row>
    <row r="174" spans="1:10" x14ac:dyDescent="0.25">
      <c r="A174" t="s">
        <v>156</v>
      </c>
      <c r="B174" t="s">
        <v>46</v>
      </c>
      <c r="C174" t="s">
        <v>62</v>
      </c>
      <c r="D174">
        <v>0.15</v>
      </c>
      <c r="E174">
        <v>0.18099999999999999</v>
      </c>
      <c r="F174">
        <v>25</v>
      </c>
      <c r="G174">
        <v>0.25</v>
      </c>
      <c r="H174">
        <v>100</v>
      </c>
    </row>
    <row r="175" spans="1:10" x14ac:dyDescent="0.25">
      <c r="A175" t="s">
        <v>155</v>
      </c>
      <c r="B175" t="s">
        <v>46</v>
      </c>
      <c r="C175" t="s">
        <v>54</v>
      </c>
      <c r="F175">
        <v>0.9</v>
      </c>
      <c r="G175">
        <v>0.15</v>
      </c>
      <c r="H175">
        <v>6</v>
      </c>
    </row>
    <row r="176" spans="1:10" x14ac:dyDescent="0.25">
      <c r="A176" t="s">
        <v>154</v>
      </c>
      <c r="B176" t="s">
        <v>70</v>
      </c>
      <c r="C176" t="s">
        <v>79</v>
      </c>
      <c r="F176">
        <v>75</v>
      </c>
      <c r="G176">
        <v>0.25</v>
      </c>
      <c r="H176">
        <v>300</v>
      </c>
    </row>
    <row r="177" spans="1:10" x14ac:dyDescent="0.25">
      <c r="A177" t="s">
        <v>153</v>
      </c>
      <c r="B177" t="s">
        <v>46</v>
      </c>
      <c r="C177" t="s">
        <v>151</v>
      </c>
      <c r="D177">
        <v>1.2999999999999999E-2</v>
      </c>
      <c r="E177">
        <v>1.4999999999999999E-2</v>
      </c>
      <c r="F177">
        <v>8</v>
      </c>
      <c r="G177">
        <v>0.03</v>
      </c>
      <c r="H177">
        <v>266</v>
      </c>
    </row>
    <row r="178" spans="1:10" x14ac:dyDescent="0.25">
      <c r="A178" t="s">
        <v>696</v>
      </c>
      <c r="B178" t="s">
        <v>141</v>
      </c>
      <c r="C178" t="s">
        <v>151</v>
      </c>
      <c r="F178">
        <v>8</v>
      </c>
      <c r="G178">
        <v>0.03</v>
      </c>
      <c r="H178">
        <v>266</v>
      </c>
    </row>
    <row r="179" spans="1:10" x14ac:dyDescent="0.25">
      <c r="A179" t="s">
        <v>152</v>
      </c>
      <c r="B179" t="s">
        <v>70</v>
      </c>
      <c r="C179" t="s">
        <v>151</v>
      </c>
      <c r="D179">
        <v>0.28299999999999997</v>
      </c>
      <c r="E179">
        <v>0.57899999999999996</v>
      </c>
      <c r="F179">
        <v>6</v>
      </c>
      <c r="G179">
        <v>0.02</v>
      </c>
      <c r="H179">
        <v>300</v>
      </c>
    </row>
    <row r="180" spans="1:10" x14ac:dyDescent="0.25">
      <c r="A180" t="s">
        <v>150</v>
      </c>
      <c r="B180" t="s">
        <v>59</v>
      </c>
      <c r="C180" t="s">
        <v>149</v>
      </c>
      <c r="F180">
        <v>5</v>
      </c>
      <c r="G180">
        <v>0.06</v>
      </c>
      <c r="H180">
        <v>83</v>
      </c>
    </row>
    <row r="181" spans="1:10" x14ac:dyDescent="0.25">
      <c r="A181" t="s">
        <v>148</v>
      </c>
      <c r="B181" t="s">
        <v>59</v>
      </c>
      <c r="C181" t="s">
        <v>147</v>
      </c>
      <c r="F181">
        <v>3</v>
      </c>
      <c r="G181">
        <v>0.04</v>
      </c>
      <c r="H181">
        <v>75</v>
      </c>
    </row>
    <row r="182" spans="1:10" x14ac:dyDescent="0.25">
      <c r="A182" t="s">
        <v>146</v>
      </c>
      <c r="B182" t="s">
        <v>46</v>
      </c>
      <c r="C182" t="s">
        <v>52</v>
      </c>
      <c r="F182">
        <v>3</v>
      </c>
      <c r="G182">
        <v>0.1</v>
      </c>
      <c r="H182">
        <v>30</v>
      </c>
      <c r="I182">
        <v>2.5</v>
      </c>
      <c r="J182">
        <v>4</v>
      </c>
    </row>
    <row r="183" spans="1:10" x14ac:dyDescent="0.25">
      <c r="A183" t="s">
        <v>145</v>
      </c>
      <c r="B183" t="s">
        <v>46</v>
      </c>
      <c r="C183" t="s">
        <v>76</v>
      </c>
      <c r="D183">
        <v>0.14699999999999999</v>
      </c>
      <c r="E183">
        <v>0.28899999999999998</v>
      </c>
      <c r="F183">
        <v>9.43</v>
      </c>
      <c r="G183">
        <v>0.12</v>
      </c>
      <c r="H183">
        <v>75.400000000000006</v>
      </c>
    </row>
    <row r="184" spans="1:10" x14ac:dyDescent="0.25">
      <c r="A184" t="s">
        <v>144</v>
      </c>
      <c r="B184" t="s">
        <v>46</v>
      </c>
      <c r="C184" t="s">
        <v>62</v>
      </c>
      <c r="D184">
        <v>0.14699999999999999</v>
      </c>
      <c r="E184">
        <v>0.28899999999999998</v>
      </c>
      <c r="F184">
        <v>1</v>
      </c>
      <c r="G184">
        <v>0.12</v>
      </c>
      <c r="H184">
        <v>8</v>
      </c>
    </row>
    <row r="185" spans="1:10" x14ac:dyDescent="0.25">
      <c r="A185" t="s">
        <v>143</v>
      </c>
      <c r="B185" t="s">
        <v>59</v>
      </c>
      <c r="C185" t="s">
        <v>140</v>
      </c>
      <c r="D185">
        <v>2E-3</v>
      </c>
      <c r="F185">
        <v>0.04</v>
      </c>
      <c r="H185">
        <v>50</v>
      </c>
    </row>
    <row r="186" spans="1:10" x14ac:dyDescent="0.25">
      <c r="A186" t="s">
        <v>142</v>
      </c>
      <c r="B186" t="s">
        <v>141</v>
      </c>
      <c r="C186" t="s">
        <v>140</v>
      </c>
      <c r="F186">
        <v>0.2</v>
      </c>
      <c r="H186">
        <v>50</v>
      </c>
    </row>
    <row r="187" spans="1:10" x14ac:dyDescent="0.25">
      <c r="A187" t="s">
        <v>139</v>
      </c>
      <c r="B187" t="s">
        <v>46</v>
      </c>
      <c r="C187" t="s">
        <v>52</v>
      </c>
      <c r="F187">
        <v>0.7</v>
      </c>
      <c r="G187">
        <v>0.1</v>
      </c>
      <c r="H187">
        <v>7</v>
      </c>
      <c r="I187">
        <v>79</v>
      </c>
      <c r="J187">
        <v>24</v>
      </c>
    </row>
    <row r="188" spans="1:10" x14ac:dyDescent="0.25">
      <c r="A188" t="s">
        <v>138</v>
      </c>
      <c r="B188" t="s">
        <v>46</v>
      </c>
      <c r="C188" t="s">
        <v>52</v>
      </c>
      <c r="F188">
        <v>0.8</v>
      </c>
      <c r="G188">
        <v>0.1</v>
      </c>
      <c r="H188">
        <v>7.6</v>
      </c>
      <c r="I188">
        <v>22</v>
      </c>
      <c r="J188">
        <v>8</v>
      </c>
    </row>
    <row r="189" spans="1:10" x14ac:dyDescent="0.25">
      <c r="A189" t="s">
        <v>137</v>
      </c>
      <c r="B189" t="s">
        <v>59</v>
      </c>
      <c r="C189" t="s">
        <v>69</v>
      </c>
      <c r="D189">
        <v>7.6999999999999999E-2</v>
      </c>
      <c r="E189">
        <v>0.107</v>
      </c>
      <c r="F189">
        <v>0.06</v>
      </c>
      <c r="G189">
        <v>0.08</v>
      </c>
      <c r="H189">
        <v>0.75</v>
      </c>
    </row>
    <row r="190" spans="1:10" x14ac:dyDescent="0.25">
      <c r="A190" t="s">
        <v>136</v>
      </c>
      <c r="B190" t="s">
        <v>70</v>
      </c>
      <c r="C190" t="s">
        <v>69</v>
      </c>
      <c r="D190">
        <v>0.18</v>
      </c>
      <c r="E190">
        <v>0.22600000000000001</v>
      </c>
      <c r="F190">
        <v>3</v>
      </c>
      <c r="G190">
        <v>0.15</v>
      </c>
      <c r="H190">
        <v>20</v>
      </c>
    </row>
    <row r="191" spans="1:10" x14ac:dyDescent="0.25">
      <c r="A191" t="s">
        <v>135</v>
      </c>
      <c r="B191" t="s">
        <v>70</v>
      </c>
      <c r="C191" t="s">
        <v>45</v>
      </c>
      <c r="D191">
        <v>0.17</v>
      </c>
      <c r="E191">
        <v>0.31</v>
      </c>
      <c r="F191">
        <v>5</v>
      </c>
      <c r="G191">
        <v>0.25</v>
      </c>
      <c r="H191">
        <v>20</v>
      </c>
    </row>
    <row r="192" spans="1:10" x14ac:dyDescent="0.25">
      <c r="A192" t="s">
        <v>134</v>
      </c>
      <c r="B192" t="s">
        <v>59</v>
      </c>
      <c r="C192" t="s">
        <v>133</v>
      </c>
      <c r="F192">
        <v>0.4</v>
      </c>
      <c r="G192">
        <v>0.2</v>
      </c>
      <c r="H192">
        <v>2</v>
      </c>
    </row>
    <row r="193" spans="1:10" x14ac:dyDescent="0.25">
      <c r="A193" t="s">
        <v>132</v>
      </c>
      <c r="B193" t="s">
        <v>131</v>
      </c>
      <c r="C193" t="s">
        <v>130</v>
      </c>
      <c r="F193">
        <v>40</v>
      </c>
      <c r="G193">
        <v>0.2</v>
      </c>
      <c r="H193">
        <v>200</v>
      </c>
    </row>
    <row r="194" spans="1:10" x14ac:dyDescent="0.25">
      <c r="A194" t="s">
        <v>129</v>
      </c>
      <c r="B194" t="s">
        <v>57</v>
      </c>
      <c r="C194" t="s">
        <v>54</v>
      </c>
      <c r="F194">
        <v>4</v>
      </c>
      <c r="G194">
        <v>0.2</v>
      </c>
      <c r="H194">
        <v>20</v>
      </c>
    </row>
    <row r="195" spans="1:10" x14ac:dyDescent="0.25">
      <c r="A195" t="s">
        <v>128</v>
      </c>
      <c r="B195" t="s">
        <v>70</v>
      </c>
      <c r="C195" t="s">
        <v>54</v>
      </c>
      <c r="F195">
        <v>60</v>
      </c>
      <c r="G195">
        <v>0.2</v>
      </c>
      <c r="H195">
        <v>300</v>
      </c>
    </row>
    <row r="196" spans="1:10" x14ac:dyDescent="0.25">
      <c r="A196" t="s">
        <v>127</v>
      </c>
      <c r="B196" t="s">
        <v>46</v>
      </c>
      <c r="C196" t="s">
        <v>52</v>
      </c>
      <c r="F196">
        <v>0.1</v>
      </c>
      <c r="G196">
        <v>0.1</v>
      </c>
      <c r="H196">
        <v>1</v>
      </c>
      <c r="I196">
        <v>35</v>
      </c>
      <c r="J196">
        <v>24</v>
      </c>
    </row>
    <row r="197" spans="1:10" x14ac:dyDescent="0.25">
      <c r="A197" t="s">
        <v>126</v>
      </c>
      <c r="B197" t="s">
        <v>46</v>
      </c>
      <c r="C197" t="s">
        <v>69</v>
      </c>
      <c r="D197">
        <v>3.9E-2</v>
      </c>
      <c r="E197">
        <v>5.5E-2</v>
      </c>
      <c r="F197">
        <v>0.2</v>
      </c>
      <c r="G197">
        <v>0.05</v>
      </c>
      <c r="H197">
        <v>4</v>
      </c>
    </row>
    <row r="198" spans="1:10" x14ac:dyDescent="0.25">
      <c r="A198" t="s">
        <v>125</v>
      </c>
      <c r="B198" t="s">
        <v>59</v>
      </c>
      <c r="C198" t="s">
        <v>69</v>
      </c>
      <c r="D198">
        <v>3.9E-2</v>
      </c>
      <c r="E198">
        <v>5.5E-2</v>
      </c>
      <c r="F198">
        <v>0.2</v>
      </c>
      <c r="G198">
        <v>0.05</v>
      </c>
      <c r="H198">
        <v>4</v>
      </c>
    </row>
    <row r="199" spans="1:10" x14ac:dyDescent="0.25">
      <c r="A199" t="s">
        <v>697</v>
      </c>
      <c r="B199" t="s">
        <v>141</v>
      </c>
      <c r="C199" t="s">
        <v>69</v>
      </c>
      <c r="F199">
        <v>0.4</v>
      </c>
      <c r="G199">
        <v>0.1</v>
      </c>
      <c r="H199">
        <v>4</v>
      </c>
    </row>
    <row r="200" spans="1:10" x14ac:dyDescent="0.25">
      <c r="A200" t="s">
        <v>124</v>
      </c>
      <c r="B200" t="s">
        <v>70</v>
      </c>
      <c r="C200" t="s">
        <v>69</v>
      </c>
      <c r="D200">
        <v>0.24399999999999999</v>
      </c>
      <c r="E200">
        <v>0.222</v>
      </c>
      <c r="F200">
        <v>2</v>
      </c>
      <c r="G200">
        <v>0.1</v>
      </c>
      <c r="H200">
        <v>20</v>
      </c>
    </row>
    <row r="201" spans="1:10" x14ac:dyDescent="0.25">
      <c r="A201" t="s">
        <v>123</v>
      </c>
      <c r="B201" t="s">
        <v>46</v>
      </c>
      <c r="C201" t="s">
        <v>85</v>
      </c>
      <c r="D201">
        <v>0.109</v>
      </c>
      <c r="E201">
        <v>0.191</v>
      </c>
      <c r="F201">
        <v>0.04</v>
      </c>
      <c r="G201">
        <v>0.2</v>
      </c>
      <c r="H201">
        <v>0.2</v>
      </c>
    </row>
    <row r="202" spans="1:10" x14ac:dyDescent="0.25">
      <c r="A202" t="s">
        <v>122</v>
      </c>
      <c r="B202" t="s">
        <v>46</v>
      </c>
      <c r="C202" t="s">
        <v>79</v>
      </c>
      <c r="F202">
        <v>0.05</v>
      </c>
      <c r="G202">
        <v>0.3</v>
      </c>
      <c r="H202">
        <v>0.15</v>
      </c>
    </row>
    <row r="203" spans="1:10" x14ac:dyDescent="0.25">
      <c r="A203" t="s">
        <v>121</v>
      </c>
      <c r="B203" t="s">
        <v>46</v>
      </c>
      <c r="C203" t="s">
        <v>79</v>
      </c>
      <c r="D203">
        <v>8.7999999999999995E-2</v>
      </c>
      <c r="E203">
        <v>0.34899999999999998</v>
      </c>
      <c r="F203">
        <v>5</v>
      </c>
      <c r="G203">
        <v>0.1</v>
      </c>
      <c r="H203">
        <v>50</v>
      </c>
    </row>
    <row r="204" spans="1:10" x14ac:dyDescent="0.25">
      <c r="A204" t="s">
        <v>120</v>
      </c>
      <c r="B204" t="s">
        <v>46</v>
      </c>
      <c r="C204" t="s">
        <v>54</v>
      </c>
      <c r="D204">
        <v>0.185</v>
      </c>
      <c r="E204">
        <v>0.39700000000000002</v>
      </c>
      <c r="F204">
        <v>2</v>
      </c>
      <c r="G204">
        <v>0.15</v>
      </c>
      <c r="H204">
        <v>10</v>
      </c>
    </row>
    <row r="205" spans="1:10" x14ac:dyDescent="0.25">
      <c r="A205" t="s">
        <v>119</v>
      </c>
      <c r="B205" t="s">
        <v>46</v>
      </c>
      <c r="C205" t="s">
        <v>118</v>
      </c>
      <c r="D205">
        <v>0.45</v>
      </c>
      <c r="E205">
        <v>0.64300000000000002</v>
      </c>
      <c r="F205">
        <v>40</v>
      </c>
      <c r="G205">
        <v>0.1</v>
      </c>
      <c r="H205">
        <v>400</v>
      </c>
    </row>
    <row r="206" spans="1:10" x14ac:dyDescent="0.25">
      <c r="A206" t="s">
        <v>117</v>
      </c>
      <c r="B206" t="s">
        <v>46</v>
      </c>
      <c r="C206" t="s">
        <v>79</v>
      </c>
      <c r="D206">
        <v>6.8000000000000005E-2</v>
      </c>
      <c r="E206">
        <v>0.42</v>
      </c>
      <c r="F206">
        <v>0.4</v>
      </c>
      <c r="G206">
        <v>0.08</v>
      </c>
      <c r="H206">
        <v>5</v>
      </c>
    </row>
    <row r="207" spans="1:10" x14ac:dyDescent="0.25">
      <c r="A207" t="s">
        <v>116</v>
      </c>
      <c r="B207" t="s">
        <v>46</v>
      </c>
      <c r="C207" t="s">
        <v>79</v>
      </c>
      <c r="D207">
        <v>7.0999999999999994E-2</v>
      </c>
      <c r="E207">
        <v>0.46200000000000002</v>
      </c>
      <c r="F207">
        <v>0.2</v>
      </c>
      <c r="G207">
        <v>0.15</v>
      </c>
      <c r="H207">
        <v>1.4</v>
      </c>
    </row>
    <row r="208" spans="1:10" x14ac:dyDescent="0.25">
      <c r="A208" t="s">
        <v>115</v>
      </c>
      <c r="B208" t="s">
        <v>46</v>
      </c>
      <c r="C208" t="s">
        <v>85</v>
      </c>
      <c r="D208">
        <v>2.5999999999999999E-2</v>
      </c>
      <c r="E208">
        <v>3.6999999999999998E-2</v>
      </c>
      <c r="F208">
        <v>3</v>
      </c>
      <c r="G208">
        <v>0.05</v>
      </c>
      <c r="H208">
        <v>60</v>
      </c>
    </row>
    <row r="209" spans="1:10" x14ac:dyDescent="0.25">
      <c r="A209" t="s">
        <v>114</v>
      </c>
      <c r="B209" t="s">
        <v>49</v>
      </c>
      <c r="C209" t="s">
        <v>85</v>
      </c>
      <c r="F209">
        <v>0.05</v>
      </c>
      <c r="G209">
        <v>0.1</v>
      </c>
      <c r="H209">
        <v>0.5</v>
      </c>
    </row>
    <row r="210" spans="1:10" x14ac:dyDescent="0.25">
      <c r="A210" t="s">
        <v>698</v>
      </c>
      <c r="B210" t="s">
        <v>141</v>
      </c>
      <c r="C210" t="s">
        <v>85</v>
      </c>
      <c r="F210">
        <v>3</v>
      </c>
      <c r="G210">
        <v>0.05</v>
      </c>
      <c r="H210">
        <v>60</v>
      </c>
    </row>
    <row r="211" spans="1:10" x14ac:dyDescent="0.25">
      <c r="A211" t="s">
        <v>113</v>
      </c>
      <c r="B211" t="s">
        <v>70</v>
      </c>
      <c r="C211" t="s">
        <v>85</v>
      </c>
      <c r="D211">
        <v>0.35499999999999998</v>
      </c>
      <c r="E211">
        <v>0.23699999999999999</v>
      </c>
      <c r="F211">
        <v>0.1</v>
      </c>
      <c r="G211">
        <v>0.1</v>
      </c>
      <c r="H211">
        <v>1</v>
      </c>
    </row>
    <row r="212" spans="1:10" x14ac:dyDescent="0.25">
      <c r="A212" t="s">
        <v>112</v>
      </c>
      <c r="B212" t="s">
        <v>57</v>
      </c>
      <c r="C212" t="s">
        <v>94</v>
      </c>
      <c r="D212">
        <v>2.5999999999999999E-2</v>
      </c>
      <c r="E212">
        <v>5.0999999999999997E-2</v>
      </c>
      <c r="F212">
        <v>2</v>
      </c>
      <c r="G212">
        <v>0.2</v>
      </c>
      <c r="H212">
        <v>10</v>
      </c>
    </row>
    <row r="213" spans="1:10" x14ac:dyDescent="0.25">
      <c r="A213" t="s">
        <v>110</v>
      </c>
      <c r="B213" t="s">
        <v>57</v>
      </c>
      <c r="C213" t="s">
        <v>91</v>
      </c>
      <c r="D213">
        <v>0.30099999999999999</v>
      </c>
      <c r="E213">
        <v>0.41599999999999998</v>
      </c>
      <c r="F213">
        <v>6</v>
      </c>
      <c r="G213">
        <v>0.3</v>
      </c>
      <c r="H213">
        <v>20</v>
      </c>
    </row>
    <row r="214" spans="1:10" x14ac:dyDescent="0.25">
      <c r="A214" t="s">
        <v>109</v>
      </c>
      <c r="B214" t="s">
        <v>63</v>
      </c>
      <c r="C214" t="s">
        <v>108</v>
      </c>
      <c r="F214">
        <v>12</v>
      </c>
      <c r="G214">
        <v>0.2</v>
      </c>
      <c r="H214">
        <v>60</v>
      </c>
    </row>
    <row r="215" spans="1:10" x14ac:dyDescent="0.25">
      <c r="A215" t="s">
        <v>107</v>
      </c>
      <c r="B215" t="s">
        <v>46</v>
      </c>
      <c r="C215" t="s">
        <v>52</v>
      </c>
      <c r="F215">
        <v>14</v>
      </c>
      <c r="G215">
        <v>0.1</v>
      </c>
      <c r="H215">
        <v>143</v>
      </c>
      <c r="I215">
        <v>20</v>
      </c>
      <c r="J215">
        <v>8</v>
      </c>
    </row>
    <row r="216" spans="1:10" x14ac:dyDescent="0.25">
      <c r="A216" t="s">
        <v>684</v>
      </c>
      <c r="B216" t="s">
        <v>70</v>
      </c>
      <c r="C216" t="s">
        <v>45</v>
      </c>
      <c r="F216">
        <v>0.2</v>
      </c>
      <c r="G216">
        <v>0.2</v>
      </c>
      <c r="H216">
        <v>1</v>
      </c>
    </row>
    <row r="217" spans="1:10" x14ac:dyDescent="0.25">
      <c r="A217" t="s">
        <v>106</v>
      </c>
      <c r="B217" t="s">
        <v>59</v>
      </c>
      <c r="C217" t="s">
        <v>54</v>
      </c>
      <c r="D217">
        <v>8.3000000000000004E-2</v>
      </c>
      <c r="E217">
        <v>0.441</v>
      </c>
      <c r="F217">
        <v>6</v>
      </c>
      <c r="G217">
        <v>0.12</v>
      </c>
      <c r="H217">
        <v>50</v>
      </c>
    </row>
    <row r="218" spans="1:10" x14ac:dyDescent="0.25">
      <c r="A218" t="s">
        <v>105</v>
      </c>
      <c r="B218" t="s">
        <v>59</v>
      </c>
      <c r="C218" t="s">
        <v>79</v>
      </c>
      <c r="F218">
        <v>0.5</v>
      </c>
      <c r="G218">
        <v>0.1</v>
      </c>
      <c r="H218">
        <v>5</v>
      </c>
      <c r="I218">
        <v>62</v>
      </c>
      <c r="J218">
        <v>24</v>
      </c>
    </row>
    <row r="219" spans="1:10" x14ac:dyDescent="0.25">
      <c r="A219" t="s">
        <v>104</v>
      </c>
      <c r="B219" t="s">
        <v>46</v>
      </c>
      <c r="C219" t="s">
        <v>69</v>
      </c>
      <c r="D219">
        <v>5.0000000000000001E-3</v>
      </c>
      <c r="E219">
        <v>8.0000000000000002E-3</v>
      </c>
      <c r="F219">
        <v>3</v>
      </c>
      <c r="G219">
        <v>0.02</v>
      </c>
      <c r="H219">
        <v>150</v>
      </c>
    </row>
    <row r="220" spans="1:10" x14ac:dyDescent="0.25">
      <c r="A220" t="s">
        <v>103</v>
      </c>
      <c r="B220" t="s">
        <v>59</v>
      </c>
      <c r="C220" t="s">
        <v>69</v>
      </c>
      <c r="D220">
        <v>5.0000000000000001E-3</v>
      </c>
      <c r="E220">
        <v>8.0000000000000002E-3</v>
      </c>
      <c r="F220">
        <v>3</v>
      </c>
      <c r="G220">
        <v>0.02</v>
      </c>
      <c r="H220">
        <v>150</v>
      </c>
    </row>
    <row r="221" spans="1:10" x14ac:dyDescent="0.25">
      <c r="A221" t="s">
        <v>699</v>
      </c>
      <c r="B221" t="s">
        <v>141</v>
      </c>
      <c r="C221" t="s">
        <v>69</v>
      </c>
      <c r="F221">
        <v>6</v>
      </c>
      <c r="G221">
        <v>0.04</v>
      </c>
      <c r="H221">
        <v>150</v>
      </c>
    </row>
    <row r="222" spans="1:10" x14ac:dyDescent="0.25">
      <c r="A222" t="s">
        <v>102</v>
      </c>
      <c r="B222" t="s">
        <v>101</v>
      </c>
      <c r="C222" t="s">
        <v>69</v>
      </c>
      <c r="F222">
        <v>2</v>
      </c>
      <c r="G222">
        <v>0.05</v>
      </c>
      <c r="H222">
        <v>40</v>
      </c>
    </row>
    <row r="223" spans="1:10" x14ac:dyDescent="0.25">
      <c r="A223" t="s">
        <v>100</v>
      </c>
      <c r="B223" t="s">
        <v>70</v>
      </c>
      <c r="C223" t="s">
        <v>69</v>
      </c>
      <c r="D223">
        <v>0.28699999999999998</v>
      </c>
      <c r="E223">
        <v>0.16700000000000001</v>
      </c>
      <c r="F223">
        <v>4</v>
      </c>
      <c r="G223">
        <v>0.1</v>
      </c>
      <c r="H223">
        <v>40</v>
      </c>
    </row>
    <row r="224" spans="1:10" x14ac:dyDescent="0.25">
      <c r="A224" t="s">
        <v>99</v>
      </c>
      <c r="B224" t="s">
        <v>63</v>
      </c>
      <c r="C224" t="s">
        <v>76</v>
      </c>
      <c r="D224">
        <v>0.04</v>
      </c>
      <c r="E224">
        <v>7.9000000000000001E-2</v>
      </c>
      <c r="F224">
        <v>10</v>
      </c>
      <c r="G224">
        <v>0.1</v>
      </c>
      <c r="H224">
        <v>100</v>
      </c>
    </row>
    <row r="225" spans="1:10" x14ac:dyDescent="0.25">
      <c r="A225" t="s">
        <v>98</v>
      </c>
      <c r="B225" t="s">
        <v>59</v>
      </c>
      <c r="C225" t="s">
        <v>79</v>
      </c>
      <c r="F225">
        <v>0.5</v>
      </c>
      <c r="G225">
        <v>0.1</v>
      </c>
      <c r="H225">
        <v>5</v>
      </c>
      <c r="I225">
        <v>12</v>
      </c>
      <c r="J225">
        <v>12</v>
      </c>
    </row>
    <row r="226" spans="1:10" x14ac:dyDescent="0.25">
      <c r="A226" t="s">
        <v>97</v>
      </c>
      <c r="B226" t="s">
        <v>46</v>
      </c>
      <c r="C226" t="s">
        <v>54</v>
      </c>
      <c r="D226">
        <v>0.14299999999999999</v>
      </c>
      <c r="E226">
        <v>0.22700000000000001</v>
      </c>
      <c r="F226">
        <v>0.4</v>
      </c>
      <c r="G226">
        <v>0.15</v>
      </c>
      <c r="H226">
        <v>2.7</v>
      </c>
    </row>
    <row r="227" spans="1:10" x14ac:dyDescent="0.25">
      <c r="A227" t="s">
        <v>96</v>
      </c>
      <c r="B227" t="s">
        <v>46</v>
      </c>
      <c r="C227" t="s">
        <v>52</v>
      </c>
      <c r="F227">
        <v>0.5</v>
      </c>
      <c r="G227">
        <v>0.1</v>
      </c>
      <c r="H227">
        <v>5.4</v>
      </c>
      <c r="I227">
        <v>8</v>
      </c>
      <c r="J227">
        <v>6</v>
      </c>
    </row>
    <row r="228" spans="1:10" x14ac:dyDescent="0.25">
      <c r="A228" t="s">
        <v>95</v>
      </c>
      <c r="B228" t="s">
        <v>57</v>
      </c>
      <c r="C228" t="s">
        <v>94</v>
      </c>
      <c r="F228">
        <v>3</v>
      </c>
      <c r="G228">
        <v>0.25</v>
      </c>
      <c r="H228">
        <v>12</v>
      </c>
    </row>
    <row r="229" spans="1:10" x14ac:dyDescent="0.25">
      <c r="A229" t="s">
        <v>93</v>
      </c>
      <c r="B229" t="s">
        <v>46</v>
      </c>
      <c r="C229" t="s">
        <v>79</v>
      </c>
      <c r="D229">
        <v>0.11799999999999999</v>
      </c>
      <c r="E229">
        <v>0.79300000000000004</v>
      </c>
      <c r="F229">
        <v>0.2</v>
      </c>
      <c r="G229">
        <v>0.12</v>
      </c>
      <c r="H229">
        <v>1.7</v>
      </c>
    </row>
    <row r="230" spans="1:10" x14ac:dyDescent="0.25">
      <c r="A230" t="s">
        <v>92</v>
      </c>
      <c r="B230" t="s">
        <v>46</v>
      </c>
      <c r="C230" t="s">
        <v>91</v>
      </c>
      <c r="D230">
        <v>0.17799999999999999</v>
      </c>
      <c r="E230">
        <v>0.36</v>
      </c>
      <c r="F230">
        <v>0.1</v>
      </c>
      <c r="G230">
        <v>0.2</v>
      </c>
      <c r="H230">
        <v>0.5</v>
      </c>
    </row>
    <row r="231" spans="1:10" x14ac:dyDescent="0.25">
      <c r="A231" t="s">
        <v>685</v>
      </c>
      <c r="B231" t="s">
        <v>46</v>
      </c>
      <c r="C231" t="s">
        <v>173</v>
      </c>
      <c r="D231">
        <v>0.21199999999999999</v>
      </c>
      <c r="E231">
        <v>0.35</v>
      </c>
      <c r="G231">
        <v>0.27700000000000002</v>
      </c>
    </row>
    <row r="232" spans="1:10" x14ac:dyDescent="0.25">
      <c r="A232" t="s">
        <v>90</v>
      </c>
      <c r="B232" t="s">
        <v>46</v>
      </c>
      <c r="C232" t="s">
        <v>62</v>
      </c>
      <c r="D232">
        <v>4.8000000000000001E-2</v>
      </c>
      <c r="E232">
        <v>0.08</v>
      </c>
      <c r="F232">
        <v>1.5</v>
      </c>
      <c r="G232">
        <v>0.12</v>
      </c>
      <c r="H232">
        <v>12</v>
      </c>
    </row>
    <row r="233" spans="1:10" x14ac:dyDescent="0.25">
      <c r="A233" t="s">
        <v>89</v>
      </c>
      <c r="B233" t="s">
        <v>46</v>
      </c>
      <c r="C233" t="s">
        <v>54</v>
      </c>
      <c r="D233">
        <v>6.2E-2</v>
      </c>
      <c r="E233">
        <v>0.11899999999999999</v>
      </c>
      <c r="F233">
        <v>12</v>
      </c>
      <c r="G233">
        <v>0.1</v>
      </c>
      <c r="H233">
        <v>120</v>
      </c>
    </row>
    <row r="234" spans="1:10" x14ac:dyDescent="0.25">
      <c r="A234" t="s">
        <v>88</v>
      </c>
      <c r="B234" t="s">
        <v>46</v>
      </c>
      <c r="C234" t="s">
        <v>52</v>
      </c>
      <c r="F234">
        <v>0.2</v>
      </c>
      <c r="G234">
        <v>0.1</v>
      </c>
      <c r="H234">
        <v>2</v>
      </c>
      <c r="I234">
        <v>3</v>
      </c>
      <c r="J234">
        <v>8</v>
      </c>
    </row>
    <row r="235" spans="1:10" x14ac:dyDescent="0.25">
      <c r="A235" t="s">
        <v>87</v>
      </c>
      <c r="B235" t="s">
        <v>46</v>
      </c>
      <c r="C235" t="s">
        <v>45</v>
      </c>
      <c r="F235">
        <v>4</v>
      </c>
      <c r="G235">
        <v>0.08</v>
      </c>
      <c r="H235">
        <v>50</v>
      </c>
    </row>
    <row r="236" spans="1:10" x14ac:dyDescent="0.25">
      <c r="A236" t="s">
        <v>86</v>
      </c>
      <c r="B236" t="s">
        <v>46</v>
      </c>
      <c r="C236" t="s">
        <v>85</v>
      </c>
      <c r="D236">
        <v>3.9E-2</v>
      </c>
      <c r="E236">
        <v>0.13900000000000001</v>
      </c>
      <c r="F236">
        <v>0.2</v>
      </c>
      <c r="G236">
        <v>0.08</v>
      </c>
      <c r="H236">
        <v>2.5</v>
      </c>
    </row>
    <row r="237" spans="1:10" x14ac:dyDescent="0.25">
      <c r="A237" t="s">
        <v>84</v>
      </c>
      <c r="B237" t="s">
        <v>46</v>
      </c>
      <c r="C237" t="s">
        <v>69</v>
      </c>
      <c r="D237">
        <v>0.19800000000000001</v>
      </c>
      <c r="E237">
        <v>0.35299999999999998</v>
      </c>
      <c r="F237">
        <v>0.2</v>
      </c>
      <c r="G237">
        <v>0.12</v>
      </c>
      <c r="H237">
        <v>1.6</v>
      </c>
    </row>
    <row r="238" spans="1:10" x14ac:dyDescent="0.25">
      <c r="A238" t="s">
        <v>700</v>
      </c>
      <c r="B238" t="s">
        <v>141</v>
      </c>
      <c r="C238" t="s">
        <v>69</v>
      </c>
      <c r="F238">
        <v>0.3</v>
      </c>
      <c r="G238">
        <v>0.25</v>
      </c>
      <c r="H238">
        <v>1.2</v>
      </c>
    </row>
    <row r="239" spans="1:10" x14ac:dyDescent="0.25">
      <c r="A239" t="s">
        <v>83</v>
      </c>
      <c r="B239" t="s">
        <v>46</v>
      </c>
      <c r="C239" t="s">
        <v>62</v>
      </c>
      <c r="D239">
        <v>5.0999999999999997E-2</v>
      </c>
      <c r="E239">
        <v>8.1000000000000003E-2</v>
      </c>
      <c r="F239">
        <v>0.7</v>
      </c>
      <c r="G239">
        <v>0.2</v>
      </c>
      <c r="H239">
        <v>3.5</v>
      </c>
    </row>
    <row r="240" spans="1:10" x14ac:dyDescent="0.25">
      <c r="A240" t="s">
        <v>82</v>
      </c>
      <c r="B240" t="s">
        <v>46</v>
      </c>
      <c r="C240" t="s">
        <v>54</v>
      </c>
      <c r="D240">
        <v>9.4E-2</v>
      </c>
      <c r="E240">
        <v>0.185</v>
      </c>
      <c r="F240">
        <v>0.2</v>
      </c>
      <c r="G240">
        <v>0.15</v>
      </c>
      <c r="H240">
        <v>1.3</v>
      </c>
    </row>
    <row r="241" spans="1:10" x14ac:dyDescent="0.25">
      <c r="A241" t="s">
        <v>81</v>
      </c>
      <c r="B241" t="s">
        <v>46</v>
      </c>
      <c r="C241" t="s">
        <v>76</v>
      </c>
      <c r="D241">
        <v>0.111</v>
      </c>
      <c r="E241">
        <v>0.34399999999999997</v>
      </c>
      <c r="F241">
        <v>2</v>
      </c>
      <c r="G241">
        <v>0.2</v>
      </c>
      <c r="H241">
        <v>10</v>
      </c>
    </row>
    <row r="242" spans="1:10" x14ac:dyDescent="0.25">
      <c r="A242" t="s">
        <v>80</v>
      </c>
      <c r="B242" t="s">
        <v>59</v>
      </c>
      <c r="C242" t="s">
        <v>79</v>
      </c>
      <c r="D242">
        <v>0.111</v>
      </c>
      <c r="E242">
        <v>0.34399999999999997</v>
      </c>
      <c r="F242">
        <v>0.01</v>
      </c>
      <c r="G242">
        <v>0.2</v>
      </c>
      <c r="H242">
        <v>0.05</v>
      </c>
    </row>
    <row r="243" spans="1:10" x14ac:dyDescent="0.25">
      <c r="A243" t="s">
        <v>78</v>
      </c>
      <c r="B243" t="s">
        <v>46</v>
      </c>
      <c r="C243" t="s">
        <v>76</v>
      </c>
      <c r="D243">
        <v>0.122</v>
      </c>
      <c r="E243">
        <v>0.309</v>
      </c>
      <c r="F243">
        <v>10</v>
      </c>
      <c r="G243">
        <v>0.2</v>
      </c>
      <c r="H243">
        <v>50</v>
      </c>
    </row>
    <row r="244" spans="1:10" x14ac:dyDescent="0.25">
      <c r="A244" t="s">
        <v>77</v>
      </c>
      <c r="B244" t="s">
        <v>59</v>
      </c>
      <c r="C244" t="s">
        <v>76</v>
      </c>
      <c r="D244">
        <v>0.122</v>
      </c>
      <c r="E244">
        <v>0.309</v>
      </c>
      <c r="F244">
        <v>10</v>
      </c>
      <c r="G244">
        <v>0.2</v>
      </c>
      <c r="H244">
        <v>50</v>
      </c>
    </row>
    <row r="245" spans="1:10" x14ac:dyDescent="0.25">
      <c r="A245" t="s">
        <v>701</v>
      </c>
      <c r="B245" t="s">
        <v>141</v>
      </c>
      <c r="C245" t="s">
        <v>69</v>
      </c>
      <c r="F245">
        <v>0.06</v>
      </c>
      <c r="G245">
        <v>0.16</v>
      </c>
      <c r="H245">
        <v>0.38</v>
      </c>
    </row>
    <row r="246" spans="1:10" x14ac:dyDescent="0.25">
      <c r="A246" t="s">
        <v>75</v>
      </c>
      <c r="B246" t="s">
        <v>46</v>
      </c>
      <c r="C246" t="s">
        <v>69</v>
      </c>
      <c r="D246">
        <v>8.3000000000000004E-2</v>
      </c>
      <c r="E246">
        <v>0.20899999999999999</v>
      </c>
      <c r="F246">
        <v>0.03</v>
      </c>
      <c r="G246">
        <v>0.08</v>
      </c>
      <c r="H246">
        <v>0.38</v>
      </c>
    </row>
    <row r="247" spans="1:10" x14ac:dyDescent="0.25">
      <c r="A247" t="s">
        <v>74</v>
      </c>
      <c r="B247" t="s">
        <v>46</v>
      </c>
      <c r="C247" t="s">
        <v>45</v>
      </c>
      <c r="D247">
        <v>8.3000000000000004E-2</v>
      </c>
      <c r="E247">
        <v>0.20899999999999999</v>
      </c>
      <c r="F247">
        <v>30</v>
      </c>
      <c r="G247">
        <v>0.08</v>
      </c>
      <c r="H247">
        <v>380</v>
      </c>
    </row>
    <row r="248" spans="1:10" x14ac:dyDescent="0.25">
      <c r="A248" t="s">
        <v>73</v>
      </c>
      <c r="B248" t="s">
        <v>70</v>
      </c>
      <c r="C248" t="s">
        <v>69</v>
      </c>
      <c r="D248">
        <v>0.16800000000000001</v>
      </c>
      <c r="E248">
        <v>0.14399999999999999</v>
      </c>
      <c r="F248">
        <v>0.3</v>
      </c>
      <c r="G248">
        <v>0.15</v>
      </c>
      <c r="H248">
        <v>2</v>
      </c>
    </row>
    <row r="249" spans="1:10" x14ac:dyDescent="0.25">
      <c r="A249" t="s">
        <v>72</v>
      </c>
      <c r="B249" t="s">
        <v>46</v>
      </c>
      <c r="C249" t="s">
        <v>69</v>
      </c>
      <c r="D249">
        <v>0.13100000000000001</v>
      </c>
      <c r="E249">
        <v>0.20300000000000001</v>
      </c>
      <c r="F249">
        <v>0.5</v>
      </c>
      <c r="G249">
        <v>0.12</v>
      </c>
      <c r="H249">
        <v>4</v>
      </c>
    </row>
    <row r="250" spans="1:10" x14ac:dyDescent="0.25">
      <c r="A250" t="s">
        <v>702</v>
      </c>
      <c r="B250" t="s">
        <v>141</v>
      </c>
      <c r="C250" t="s">
        <v>69</v>
      </c>
      <c r="F250">
        <v>1</v>
      </c>
      <c r="G250">
        <v>0.24</v>
      </c>
      <c r="H250">
        <v>4</v>
      </c>
    </row>
    <row r="251" spans="1:10" x14ac:dyDescent="0.25">
      <c r="A251" t="s">
        <v>71</v>
      </c>
      <c r="B251" t="s">
        <v>70</v>
      </c>
      <c r="C251" t="s">
        <v>69</v>
      </c>
      <c r="D251">
        <v>0.17399999999999999</v>
      </c>
      <c r="E251">
        <v>0.254</v>
      </c>
      <c r="F251">
        <v>20</v>
      </c>
      <c r="G251">
        <v>0.1</v>
      </c>
      <c r="H251">
        <v>200</v>
      </c>
    </row>
    <row r="252" spans="1:10" x14ac:dyDescent="0.25">
      <c r="A252" t="s">
        <v>68</v>
      </c>
      <c r="B252" t="s">
        <v>46</v>
      </c>
      <c r="C252" t="s">
        <v>52</v>
      </c>
      <c r="F252">
        <v>4</v>
      </c>
      <c r="G252">
        <v>0.1</v>
      </c>
      <c r="H252">
        <v>36</v>
      </c>
      <c r="I252">
        <v>16</v>
      </c>
      <c r="J252">
        <v>12</v>
      </c>
    </row>
    <row r="253" spans="1:10" x14ac:dyDescent="0.25">
      <c r="A253" t="s">
        <v>67</v>
      </c>
      <c r="B253" t="s">
        <v>46</v>
      </c>
      <c r="C253" t="s">
        <v>52</v>
      </c>
      <c r="F253">
        <v>2</v>
      </c>
      <c r="G253">
        <v>0.1</v>
      </c>
      <c r="H253">
        <v>20.3</v>
      </c>
      <c r="I253">
        <v>6</v>
      </c>
      <c r="J253">
        <v>6</v>
      </c>
    </row>
    <row r="254" spans="1:10" x14ac:dyDescent="0.25">
      <c r="A254" t="s">
        <v>66</v>
      </c>
      <c r="B254" t="s">
        <v>46</v>
      </c>
      <c r="C254" t="s">
        <v>45</v>
      </c>
      <c r="D254">
        <v>0.06</v>
      </c>
      <c r="E254">
        <v>0.21099999999999999</v>
      </c>
      <c r="F254">
        <v>0.2</v>
      </c>
      <c r="G254">
        <v>0.12</v>
      </c>
      <c r="H254">
        <v>1.7</v>
      </c>
    </row>
    <row r="255" spans="1:10" x14ac:dyDescent="0.25">
      <c r="A255" t="s">
        <v>65</v>
      </c>
      <c r="B255" t="s">
        <v>59</v>
      </c>
      <c r="C255" t="s">
        <v>54</v>
      </c>
      <c r="D255">
        <v>0.05</v>
      </c>
      <c r="E255">
        <v>0.12</v>
      </c>
      <c r="F255">
        <v>15</v>
      </c>
      <c r="G255">
        <v>0.1</v>
      </c>
      <c r="H255">
        <v>150</v>
      </c>
    </row>
    <row r="256" spans="1:10" x14ac:dyDescent="0.25">
      <c r="A256" t="s">
        <v>64</v>
      </c>
      <c r="B256" t="s">
        <v>63</v>
      </c>
      <c r="C256" t="s">
        <v>62</v>
      </c>
      <c r="D256">
        <v>7.1999999999999995E-2</v>
      </c>
      <c r="E256">
        <v>0.37</v>
      </c>
      <c r="F256">
        <v>18</v>
      </c>
      <c r="G256">
        <v>0.15</v>
      </c>
      <c r="H256">
        <v>120</v>
      </c>
    </row>
    <row r="257" spans="1:8" x14ac:dyDescent="0.25">
      <c r="A257" t="s">
        <v>61</v>
      </c>
      <c r="B257" t="s">
        <v>46</v>
      </c>
      <c r="C257" t="s">
        <v>54</v>
      </c>
      <c r="D257">
        <v>5.8000000000000003E-2</v>
      </c>
      <c r="E257">
        <v>0.1</v>
      </c>
      <c r="F257">
        <v>9</v>
      </c>
      <c r="G257">
        <v>0.25</v>
      </c>
      <c r="H257">
        <v>36</v>
      </c>
    </row>
    <row r="258" spans="1:8" x14ac:dyDescent="0.25">
      <c r="A258" t="s">
        <v>60</v>
      </c>
      <c r="B258" t="s">
        <v>59</v>
      </c>
      <c r="C258" t="s">
        <v>54</v>
      </c>
      <c r="D258">
        <v>0.2</v>
      </c>
      <c r="E258">
        <v>0.34</v>
      </c>
      <c r="F258">
        <v>9</v>
      </c>
      <c r="G258">
        <v>0.15</v>
      </c>
      <c r="H258">
        <v>60</v>
      </c>
    </row>
    <row r="259" spans="1:8" x14ac:dyDescent="0.25">
      <c r="A259" t="s">
        <v>58</v>
      </c>
      <c r="B259" t="s">
        <v>46</v>
      </c>
      <c r="C259" t="s">
        <v>54</v>
      </c>
      <c r="F259">
        <v>9</v>
      </c>
      <c r="G259">
        <v>0.15</v>
      </c>
      <c r="H259">
        <v>60</v>
      </c>
    </row>
    <row r="260" spans="1:8" x14ac:dyDescent="0.25">
      <c r="A260" t="s">
        <v>56</v>
      </c>
      <c r="B260" t="s">
        <v>46</v>
      </c>
      <c r="C260" t="s">
        <v>45</v>
      </c>
      <c r="D260">
        <v>0.23400000000000001</v>
      </c>
      <c r="E260">
        <v>0.24199999999999999</v>
      </c>
      <c r="F260">
        <v>7</v>
      </c>
      <c r="G260">
        <v>0.2</v>
      </c>
      <c r="H260">
        <v>35</v>
      </c>
    </row>
    <row r="261" spans="1:8" x14ac:dyDescent="0.25">
      <c r="A261" t="s">
        <v>55</v>
      </c>
      <c r="B261" t="s">
        <v>46</v>
      </c>
      <c r="C261" t="s">
        <v>54</v>
      </c>
      <c r="D261">
        <v>6.8000000000000005E-2</v>
      </c>
      <c r="E261">
        <v>0.376</v>
      </c>
      <c r="F261">
        <v>9</v>
      </c>
      <c r="G261">
        <v>0.15</v>
      </c>
      <c r="H261">
        <v>60</v>
      </c>
    </row>
    <row r="262" spans="1:8" x14ac:dyDescent="0.25">
      <c r="A262" t="s">
        <v>53</v>
      </c>
      <c r="B262" t="s">
        <v>46</v>
      </c>
      <c r="C262" t="s">
        <v>52</v>
      </c>
      <c r="F262">
        <v>0.2</v>
      </c>
      <c r="G262">
        <v>0.1</v>
      </c>
      <c r="H262">
        <v>2</v>
      </c>
    </row>
    <row r="263" spans="1:8" x14ac:dyDescent="0.25">
      <c r="A263" t="s">
        <v>51</v>
      </c>
      <c r="B263" t="s">
        <v>49</v>
      </c>
      <c r="C263" t="s">
        <v>48</v>
      </c>
      <c r="F263">
        <v>2E-3</v>
      </c>
      <c r="G263">
        <v>0.2</v>
      </c>
      <c r="H263">
        <v>7.0000000000000001E-3</v>
      </c>
    </row>
    <row r="264" spans="1:8" x14ac:dyDescent="0.25">
      <c r="A264" t="s">
        <v>50</v>
      </c>
      <c r="B264" t="s">
        <v>49</v>
      </c>
      <c r="C264" t="s">
        <v>48</v>
      </c>
      <c r="F264">
        <v>0.02</v>
      </c>
      <c r="G264">
        <v>0.2</v>
      </c>
      <c r="H264">
        <v>0.1</v>
      </c>
    </row>
    <row r="265" spans="1:8" x14ac:dyDescent="0.25">
      <c r="A265" t="s">
        <v>47</v>
      </c>
      <c r="B265" t="s">
        <v>46</v>
      </c>
      <c r="C265" t="s">
        <v>45</v>
      </c>
      <c r="D265">
        <v>8.5000000000000006E-2</v>
      </c>
      <c r="E265">
        <v>8.6999999999999994E-2</v>
      </c>
      <c r="F265">
        <v>2</v>
      </c>
      <c r="G265">
        <v>0.1</v>
      </c>
      <c r="H265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49A7-ACFF-4E73-921F-E4FC330EA45B}">
  <dimension ref="A1:N264"/>
  <sheetViews>
    <sheetView zoomScaleNormal="100" workbookViewId="0">
      <selection activeCell="B2" sqref="B2"/>
    </sheetView>
  </sheetViews>
  <sheetFormatPr defaultColWidth="8.85546875" defaultRowHeight="12.75" x14ac:dyDescent="0.2"/>
  <cols>
    <col min="1" max="1" width="14" style="3" customWidth="1"/>
    <col min="2" max="2" width="34.28515625" style="3" customWidth="1"/>
    <col min="3" max="3" width="8.85546875" style="3"/>
    <col min="4" max="4" width="8.85546875" style="4"/>
    <col min="5" max="5" width="8.85546875" style="3"/>
    <col min="6" max="6" width="19.28515625" style="3" customWidth="1"/>
    <col min="7" max="7" width="8.85546875" style="3"/>
    <col min="8" max="8" width="9.28515625" style="3" customWidth="1"/>
    <col min="9" max="11" width="8.85546875" style="3"/>
    <col min="12" max="12" width="10.140625" style="3" bestFit="1" customWidth="1"/>
    <col min="13" max="16384" width="8.85546875" style="3"/>
  </cols>
  <sheetData>
    <row r="1" spans="1:14" x14ac:dyDescent="0.2">
      <c r="A1" s="3" t="s">
        <v>314</v>
      </c>
      <c r="B1" s="3" t="str" cm="1">
        <f t="array" ref="B1:B264">APS_Table[Procedure]</f>
        <v>17-Hydroxyprogesterone</v>
      </c>
      <c r="F1" s="4" t="s">
        <v>315</v>
      </c>
      <c r="H1" s="4" t="s">
        <v>316</v>
      </c>
      <c r="L1" s="3" t="s">
        <v>575</v>
      </c>
      <c r="M1" s="3" t="s">
        <v>656</v>
      </c>
      <c r="N1" s="3" t="s">
        <v>657</v>
      </c>
    </row>
    <row r="2" spans="1:14" x14ac:dyDescent="0.2">
      <c r="B2" s="3" t="str">
        <v>3-Methoxytyramine (Urine)</v>
      </c>
      <c r="F2" s="4" t="s">
        <v>317</v>
      </c>
      <c r="H2" s="4" t="s">
        <v>318</v>
      </c>
      <c r="L2" s="13">
        <v>45922</v>
      </c>
      <c r="M2" s="3" t="s">
        <v>658</v>
      </c>
      <c r="N2" s="3" t="s">
        <v>659</v>
      </c>
    </row>
    <row r="3" spans="1:14" x14ac:dyDescent="0.2">
      <c r="B3" s="3" t="str">
        <v>5-Hydroxyindoleacetic acid (Urine)</v>
      </c>
      <c r="F3" s="4" t="s">
        <v>319</v>
      </c>
      <c r="H3" s="4" t="s">
        <v>320</v>
      </c>
    </row>
    <row r="4" spans="1:14" x14ac:dyDescent="0.2">
      <c r="B4" s="3" t="str">
        <v>Acid Phosphatase (Prostatic)</v>
      </c>
      <c r="F4" s="4" t="s">
        <v>321</v>
      </c>
    </row>
    <row r="5" spans="1:14" x14ac:dyDescent="0.2">
      <c r="B5" s="3" t="str">
        <v>Acid Phosphatase (Tartrate Resistant)</v>
      </c>
    </row>
    <row r="6" spans="1:14" x14ac:dyDescent="0.2">
      <c r="B6" s="3" t="str">
        <v>Acid Phosphatase (Total)</v>
      </c>
    </row>
    <row r="7" spans="1:14" x14ac:dyDescent="0.2">
      <c r="B7" s="3" t="str">
        <v>Activated Partial Thromboplastin Time</v>
      </c>
    </row>
    <row r="8" spans="1:14" x14ac:dyDescent="0.2">
      <c r="B8" s="3" t="str">
        <v>Adrenaline</v>
      </c>
      <c r="F8" s="4"/>
    </row>
    <row r="9" spans="1:14" x14ac:dyDescent="0.2">
      <c r="B9" s="3" t="str">
        <v>Adrenaline (Urine)</v>
      </c>
      <c r="F9" s="3" t="s">
        <v>322</v>
      </c>
      <c r="H9" s="4" t="s">
        <v>323</v>
      </c>
    </row>
    <row r="10" spans="1:14" x14ac:dyDescent="0.2">
      <c r="B10" s="3" t="str">
        <v>Adrenocorticotropic hormone (mass)</v>
      </c>
      <c r="F10" s="3" t="s">
        <v>46</v>
      </c>
      <c r="H10" s="3">
        <v>1</v>
      </c>
    </row>
    <row r="11" spans="1:14" x14ac:dyDescent="0.2">
      <c r="B11" s="3" t="str">
        <v>Adrenocorticotropic hormone (molar)</v>
      </c>
      <c r="F11" s="3" t="s">
        <v>57</v>
      </c>
      <c r="H11" s="3">
        <v>2</v>
      </c>
    </row>
    <row r="12" spans="1:14" x14ac:dyDescent="0.2">
      <c r="B12" s="3" t="str">
        <v>Alanine aminotransferase</v>
      </c>
      <c r="F12" s="3" t="s">
        <v>63</v>
      </c>
      <c r="H12" s="3">
        <v>3</v>
      </c>
    </row>
    <row r="13" spans="1:14" x14ac:dyDescent="0.2">
      <c r="B13" s="3" t="str">
        <v>Albumin</v>
      </c>
      <c r="F13" s="3" t="s">
        <v>59</v>
      </c>
      <c r="H13" s="3">
        <v>4</v>
      </c>
    </row>
    <row r="14" spans="1:14" x14ac:dyDescent="0.2">
      <c r="B14" s="3" t="str">
        <v>Albumin (CSF)</v>
      </c>
      <c r="F14" s="3" t="s">
        <v>70</v>
      </c>
    </row>
    <row r="15" spans="1:14" x14ac:dyDescent="0.2">
      <c r="B15" s="3" t="str">
        <v>Albumin (Fluid)</v>
      </c>
      <c r="F15" s="3" t="s">
        <v>49</v>
      </c>
    </row>
    <row r="16" spans="1:14" x14ac:dyDescent="0.2">
      <c r="B16" s="3" t="str">
        <v>Albumin (Urine)</v>
      </c>
      <c r="F16" s="3" t="s">
        <v>324</v>
      </c>
    </row>
    <row r="17" spans="2:6" x14ac:dyDescent="0.2">
      <c r="B17" s="3" t="str">
        <v>Aldosterone</v>
      </c>
      <c r="F17" s="3" t="s">
        <v>325</v>
      </c>
    </row>
    <row r="18" spans="2:6" x14ac:dyDescent="0.2">
      <c r="B18" s="3" t="str">
        <v>Alkaline Phosphatase</v>
      </c>
      <c r="F18" s="3" t="s">
        <v>326</v>
      </c>
    </row>
    <row r="19" spans="2:6" x14ac:dyDescent="0.2">
      <c r="B19" s="3" t="str">
        <v>Alpha-1-antitrypsin</v>
      </c>
      <c r="F19" s="3" t="s">
        <v>327</v>
      </c>
    </row>
    <row r="20" spans="2:6" x14ac:dyDescent="0.2">
      <c r="B20" s="3" t="str">
        <v>Alphafetoprotein</v>
      </c>
    </row>
    <row r="21" spans="2:6" x14ac:dyDescent="0.2">
      <c r="B21" s="3" t="str">
        <v>Amikacin</v>
      </c>
    </row>
    <row r="22" spans="2:6" x14ac:dyDescent="0.2">
      <c r="B22" s="3" t="str">
        <v>Aminolevulinic acid</v>
      </c>
    </row>
    <row r="23" spans="2:6" x14ac:dyDescent="0.2">
      <c r="B23" s="3" t="str">
        <v>Amiodarone</v>
      </c>
    </row>
    <row r="24" spans="2:6" x14ac:dyDescent="0.2">
      <c r="B24" s="3" t="str">
        <v>Amitriptyline</v>
      </c>
    </row>
    <row r="25" spans="2:6" x14ac:dyDescent="0.2">
      <c r="B25" s="3" t="str">
        <v>Ammonia</v>
      </c>
    </row>
    <row r="26" spans="2:6" x14ac:dyDescent="0.2">
      <c r="B26" s="3" t="str">
        <v>Ammonia (Urine)</v>
      </c>
    </row>
    <row r="27" spans="2:6" x14ac:dyDescent="0.2">
      <c r="B27" s="3" t="str">
        <v>Amphetamine (class) (Urine)</v>
      </c>
    </row>
    <row r="28" spans="2:6" x14ac:dyDescent="0.2">
      <c r="B28" s="3" t="str">
        <v>Amylase</v>
      </c>
    </row>
    <row r="29" spans="2:6" x14ac:dyDescent="0.2">
      <c r="B29" s="3" t="str">
        <v>Amylase (Fluid)</v>
      </c>
    </row>
    <row r="30" spans="2:6" x14ac:dyDescent="0.2">
      <c r="B30" s="3" t="str">
        <v>Amylase (Urine)</v>
      </c>
    </row>
    <row r="31" spans="2:6" x14ac:dyDescent="0.2">
      <c r="B31" s="3" t="str">
        <v>Androstenedione</v>
      </c>
    </row>
    <row r="32" spans="2:6" x14ac:dyDescent="0.2">
      <c r="B32" s="3" t="str">
        <v>Angiotensin Converting Enzyme</v>
      </c>
    </row>
    <row r="33" spans="2:2" x14ac:dyDescent="0.2">
      <c r="B33" s="3" t="str">
        <v>Ant Mullerian Hormone</v>
      </c>
    </row>
    <row r="34" spans="2:2" x14ac:dyDescent="0.2">
      <c r="B34" s="3" t="str">
        <v>Apolipoprotein A1</v>
      </c>
    </row>
    <row r="35" spans="2:2" x14ac:dyDescent="0.2">
      <c r="B35" s="3" t="str">
        <v>Apolipoprotein B</v>
      </c>
    </row>
    <row r="36" spans="2:2" x14ac:dyDescent="0.2">
      <c r="B36" s="3" t="str">
        <v>Aspartate aminotransferase</v>
      </c>
    </row>
    <row r="37" spans="2:2" x14ac:dyDescent="0.2">
      <c r="B37" s="3" t="str">
        <v>Barbiturates (Urine)</v>
      </c>
    </row>
    <row r="38" spans="2:2" x14ac:dyDescent="0.2">
      <c r="B38" s="3" t="str">
        <v>Benzodiazepines (class) (Urine)</v>
      </c>
    </row>
    <row r="39" spans="2:2" x14ac:dyDescent="0.2">
      <c r="B39" s="3" t="str">
        <v>Beta Hydroxybutyrate (mmol/L)</v>
      </c>
    </row>
    <row r="40" spans="2:2" x14ac:dyDescent="0.2">
      <c r="B40" s="3" t="str">
        <v>Beta Hydroxybutyrate (umol/L)</v>
      </c>
    </row>
    <row r="41" spans="2:2" x14ac:dyDescent="0.2">
      <c r="B41" s="3" t="str">
        <v>Beta-2-Microglobulin</v>
      </c>
    </row>
    <row r="42" spans="2:2" x14ac:dyDescent="0.2">
      <c r="B42" s="3" t="str">
        <v>Bicarbonate</v>
      </c>
    </row>
    <row r="43" spans="2:2" x14ac:dyDescent="0.2">
      <c r="B43" s="3" t="str">
        <v>Bile Acids (Total)</v>
      </c>
    </row>
    <row r="44" spans="2:2" x14ac:dyDescent="0.2">
      <c r="B44" s="3" t="str">
        <v>Bilirubin (Conjugated)</v>
      </c>
    </row>
    <row r="45" spans="2:2" x14ac:dyDescent="0.2">
      <c r="B45" s="3" t="str">
        <v>Bilirubin (CSF)</v>
      </c>
    </row>
    <row r="46" spans="2:2" x14ac:dyDescent="0.2">
      <c r="B46" s="3" t="str">
        <v>Bilirubin (Neonatal)</v>
      </c>
    </row>
    <row r="47" spans="2:2" x14ac:dyDescent="0.2">
      <c r="B47" s="3" t="str">
        <v>Bilirubin (Total)</v>
      </c>
    </row>
    <row r="48" spans="2:2" x14ac:dyDescent="0.2">
      <c r="B48" s="3" t="str">
        <v>Blood (Faeces)</v>
      </c>
    </row>
    <row r="49" spans="2:2" x14ac:dyDescent="0.2">
      <c r="B49" s="3" t="str">
        <v>Brain Natriuretic Peptide</v>
      </c>
    </row>
    <row r="50" spans="2:2" x14ac:dyDescent="0.2">
      <c r="B50" s="3" t="str">
        <v>C-Peptide</v>
      </c>
    </row>
    <row r="51" spans="2:2" x14ac:dyDescent="0.2">
      <c r="B51" s="3" t="str">
        <v>C-Reactive Protein</v>
      </c>
    </row>
    <row r="52" spans="2:2" x14ac:dyDescent="0.2">
      <c r="B52" s="3" t="str">
        <v>C-Reactive Protein (high sensitivity)</v>
      </c>
    </row>
    <row r="53" spans="2:2" x14ac:dyDescent="0.2">
      <c r="B53" s="3" t="str">
        <v>C1 esterase inhibitor</v>
      </c>
    </row>
    <row r="54" spans="2:2" x14ac:dyDescent="0.2">
      <c r="B54" s="3" t="str">
        <v>C3 Complement</v>
      </c>
    </row>
    <row r="55" spans="2:2" x14ac:dyDescent="0.2">
      <c r="B55" s="3" t="str">
        <v>C4 Complement</v>
      </c>
    </row>
    <row r="56" spans="2:2" x14ac:dyDescent="0.2">
      <c r="B56" s="3" t="str">
        <v>CA 125</v>
      </c>
    </row>
    <row r="57" spans="2:2" x14ac:dyDescent="0.2">
      <c r="B57" s="3" t="str">
        <v>CA 15-3</v>
      </c>
    </row>
    <row r="58" spans="2:2" x14ac:dyDescent="0.2">
      <c r="B58" s="3" t="str">
        <v>CA 19-9</v>
      </c>
    </row>
    <row r="59" spans="2:2" x14ac:dyDescent="0.2">
      <c r="B59" s="3" t="str">
        <v>CA 19-9 (Fluid)</v>
      </c>
    </row>
    <row r="60" spans="2:2" x14ac:dyDescent="0.2">
      <c r="B60" s="3" t="str">
        <v>Caeruloplasmin</v>
      </c>
    </row>
    <row r="61" spans="2:2" x14ac:dyDescent="0.2">
      <c r="B61" s="3" t="str">
        <v>Calcitonin</v>
      </c>
    </row>
    <row r="62" spans="2:2" x14ac:dyDescent="0.2">
      <c r="B62" s="3" t="str">
        <v>Calcium</v>
      </c>
    </row>
    <row r="63" spans="2:2" x14ac:dyDescent="0.2">
      <c r="B63" s="3" t="str">
        <v>Calcium (Ionised)</v>
      </c>
    </row>
    <row r="64" spans="2:2" x14ac:dyDescent="0.2">
      <c r="B64" s="3" t="str">
        <v>Calcium (Urine)</v>
      </c>
    </row>
    <row r="65" spans="2:2" x14ac:dyDescent="0.2">
      <c r="B65" s="3" t="str">
        <v>Cannabinoids (class) (Urine)</v>
      </c>
    </row>
    <row r="66" spans="2:2" x14ac:dyDescent="0.2">
      <c r="B66" s="3" t="str">
        <v>Carbamazepine (mass)</v>
      </c>
    </row>
    <row r="67" spans="2:2" x14ac:dyDescent="0.2">
      <c r="B67" s="3" t="str">
        <v>Carboxyhaemoglobin</v>
      </c>
    </row>
    <row r="68" spans="2:2" x14ac:dyDescent="0.2">
      <c r="B68" s="3" t="str">
        <v>Carcinoembryonic Antigen</v>
      </c>
    </row>
    <row r="69" spans="2:2" x14ac:dyDescent="0.2">
      <c r="B69" s="3" t="str">
        <v>Carcinoembryonic Antigen (Fluid)</v>
      </c>
    </row>
    <row r="70" spans="2:2" x14ac:dyDescent="0.2">
      <c r="B70" s="3" t="str">
        <v>Chloride</v>
      </c>
    </row>
    <row r="71" spans="2:2" x14ac:dyDescent="0.2">
      <c r="B71" s="3" t="str">
        <v>Chloride (Blood)</v>
      </c>
    </row>
    <row r="72" spans="2:2" x14ac:dyDescent="0.2">
      <c r="B72" s="3" t="str">
        <v>Chloride (Sweat)</v>
      </c>
    </row>
    <row r="73" spans="2:2" x14ac:dyDescent="0.2">
      <c r="B73" s="3" t="str">
        <v>Chloride (Urine)</v>
      </c>
    </row>
    <row r="74" spans="2:2" x14ac:dyDescent="0.2">
      <c r="B74" s="3" t="str">
        <v>Cholesterol</v>
      </c>
    </row>
    <row r="75" spans="2:2" x14ac:dyDescent="0.2">
      <c r="B75" s="3" t="str">
        <v>Cholesterol (fluid)</v>
      </c>
    </row>
    <row r="76" spans="2:2" x14ac:dyDescent="0.2">
      <c r="B76" s="3" t="str">
        <v>Cholinesterase</v>
      </c>
    </row>
    <row r="77" spans="2:2" x14ac:dyDescent="0.2">
      <c r="B77" s="3" t="str">
        <v>Ciclosporin (Blood)</v>
      </c>
    </row>
    <row r="78" spans="2:2" x14ac:dyDescent="0.2">
      <c r="B78" s="3" t="str">
        <v>CO2 (Partial pressure)</v>
      </c>
    </row>
    <row r="79" spans="2:2" x14ac:dyDescent="0.2">
      <c r="B79" s="3" t="str">
        <v>Cocaine (class) (Urine)</v>
      </c>
    </row>
    <row r="80" spans="2:2" x14ac:dyDescent="0.2">
      <c r="B80" s="3" t="str">
        <v>Conductivity</v>
      </c>
    </row>
    <row r="81" spans="2:2" x14ac:dyDescent="0.2">
      <c r="B81" s="3" t="str">
        <v>Copper</v>
      </c>
    </row>
    <row r="82" spans="2:2" x14ac:dyDescent="0.2">
      <c r="B82" s="3" t="str">
        <v>Cortisol</v>
      </c>
    </row>
    <row r="83" spans="2:2" x14ac:dyDescent="0.2">
      <c r="B83" s="3" t="str">
        <v>Cortisol (Urine)</v>
      </c>
    </row>
    <row r="84" spans="2:2" x14ac:dyDescent="0.2">
      <c r="B84" s="3" t="str">
        <v>Creatine Kinase</v>
      </c>
    </row>
    <row r="85" spans="2:2" x14ac:dyDescent="0.2">
      <c r="B85" s="3" t="str">
        <v>Creatine Kinase MB</v>
      </c>
    </row>
    <row r="86" spans="2:2" x14ac:dyDescent="0.2">
      <c r="B86" s="3" t="str">
        <v>Creatinine</v>
      </c>
    </row>
    <row r="87" spans="2:2" x14ac:dyDescent="0.2">
      <c r="B87" s="3" t="str">
        <v>Creatinine (Blood)</v>
      </c>
    </row>
    <row r="88" spans="2:2" x14ac:dyDescent="0.2">
      <c r="B88" s="3" t="str">
        <v>Creatinine (enzymatic)</v>
      </c>
    </row>
    <row r="89" spans="2:2" x14ac:dyDescent="0.2">
      <c r="B89" s="3" t="str">
        <v>Creatinine (Fluid)</v>
      </c>
    </row>
    <row r="90" spans="2:2" x14ac:dyDescent="0.2">
      <c r="B90" s="3" t="str">
        <v>Creatinine (Urine)</v>
      </c>
    </row>
    <row r="91" spans="2:2" x14ac:dyDescent="0.2">
      <c r="B91" s="3" t="str">
        <v>CTX Beta-Crosslaps</v>
      </c>
    </row>
    <row r="92" spans="2:2" x14ac:dyDescent="0.2">
      <c r="B92" s="3" t="str">
        <v>D-Dimer</v>
      </c>
    </row>
    <row r="93" spans="2:2" x14ac:dyDescent="0.2">
      <c r="B93" s="3" t="str">
        <v>Dehydroepiandrosterone Sulfate</v>
      </c>
    </row>
    <row r="94" spans="2:2" x14ac:dyDescent="0.2">
      <c r="B94" s="3" t="str">
        <v>Deoxypyridinoline crosslinks (Urine)</v>
      </c>
    </row>
    <row r="95" spans="2:2" x14ac:dyDescent="0.2">
      <c r="B95" s="3" t="str">
        <v>Digoxin (mass)</v>
      </c>
    </row>
    <row r="96" spans="2:2" x14ac:dyDescent="0.2">
      <c r="B96" s="3" t="str">
        <v>Dihydrotestosterone</v>
      </c>
    </row>
    <row r="97" spans="2:2" x14ac:dyDescent="0.2">
      <c r="B97" s="3" t="str">
        <v>Dopamine (Urine)</v>
      </c>
    </row>
    <row r="98" spans="2:2" x14ac:dyDescent="0.2">
      <c r="B98" s="3" t="str">
        <v>Ethanol</v>
      </c>
    </row>
    <row r="99" spans="2:2" x14ac:dyDescent="0.2">
      <c r="B99" s="3" t="str">
        <v>Everolimus</v>
      </c>
    </row>
    <row r="100" spans="2:2" x14ac:dyDescent="0.2">
      <c r="B100" s="3" t="str">
        <v>Ferritin</v>
      </c>
    </row>
    <row r="101" spans="2:2" x14ac:dyDescent="0.2">
      <c r="B101" s="3" t="str">
        <v>Fibrinogen</v>
      </c>
    </row>
    <row r="102" spans="2:2" x14ac:dyDescent="0.2">
      <c r="B102" s="3" t="str">
        <v>Fibroblast Growth Factor 23</v>
      </c>
    </row>
    <row r="103" spans="2:2" x14ac:dyDescent="0.2">
      <c r="B103" s="3" t="str">
        <v>Fluconazole</v>
      </c>
    </row>
    <row r="104" spans="2:2" x14ac:dyDescent="0.2">
      <c r="B104" s="3" t="str">
        <v>Flucytosine</v>
      </c>
    </row>
    <row r="105" spans="2:2" x14ac:dyDescent="0.2">
      <c r="B105" s="3" t="str">
        <v>Folate</v>
      </c>
    </row>
    <row r="106" spans="2:2" x14ac:dyDescent="0.2">
      <c r="B106" s="3" t="str">
        <v>Folate (Red Cell)</v>
      </c>
    </row>
    <row r="107" spans="2:2" x14ac:dyDescent="0.2">
      <c r="B107" s="3" t="str">
        <v>Follicle Stimulating Hormone</v>
      </c>
    </row>
    <row r="108" spans="2:2" x14ac:dyDescent="0.2">
      <c r="B108" s="3" t="str">
        <v>Free Beta Human Chorionic Gonadotropin</v>
      </c>
    </row>
    <row r="109" spans="2:2" x14ac:dyDescent="0.2">
      <c r="B109" s="3" t="str">
        <v>Fructosamine</v>
      </c>
    </row>
    <row r="110" spans="2:2" x14ac:dyDescent="0.2">
      <c r="B110" s="3" t="str">
        <v>Gamma glutamyltransferase</v>
      </c>
    </row>
    <row r="111" spans="2:2" x14ac:dyDescent="0.2">
      <c r="B111" s="3" t="str">
        <v>Gastrin</v>
      </c>
    </row>
    <row r="112" spans="2:2" x14ac:dyDescent="0.2">
      <c r="B112" s="3" t="str">
        <v>Gentamicin</v>
      </c>
    </row>
    <row r="113" spans="2:2" x14ac:dyDescent="0.2">
      <c r="B113" s="3" t="str">
        <v>Glucose</v>
      </c>
    </row>
    <row r="114" spans="2:2" x14ac:dyDescent="0.2">
      <c r="B114" s="3" t="str">
        <v>Glucose (Blood)</v>
      </c>
    </row>
    <row r="115" spans="2:2" x14ac:dyDescent="0.2">
      <c r="B115" s="3" t="str">
        <v>Glucose (CSF)</v>
      </c>
    </row>
    <row r="116" spans="2:2" x14ac:dyDescent="0.2">
      <c r="B116" s="3" t="str">
        <v>Glucose (Fluid)</v>
      </c>
    </row>
    <row r="117" spans="2:2" x14ac:dyDescent="0.2">
      <c r="B117" s="3" t="str">
        <v>Glucose (Urine)</v>
      </c>
    </row>
    <row r="118" spans="2:2" x14ac:dyDescent="0.2">
      <c r="B118" s="3" t="str">
        <v>Growth Hormone</v>
      </c>
    </row>
    <row r="119" spans="2:2" x14ac:dyDescent="0.2">
      <c r="B119" s="3" t="str">
        <v>Haematocrit (POCT)</v>
      </c>
    </row>
    <row r="120" spans="2:2" x14ac:dyDescent="0.2">
      <c r="B120" s="3" t="str">
        <v>Haemoglobin (Plasma Free)</v>
      </c>
    </row>
    <row r="121" spans="2:2" x14ac:dyDescent="0.2">
      <c r="B121" s="3" t="str">
        <v>Haemoglobin (POCT)</v>
      </c>
    </row>
    <row r="122" spans="2:2" x14ac:dyDescent="0.2">
      <c r="B122" s="3" t="str">
        <v>Haptoglobin</v>
      </c>
    </row>
    <row r="123" spans="2:2" x14ac:dyDescent="0.2">
      <c r="B123" s="3" t="str">
        <v>HbA1c (IFCC)</v>
      </c>
    </row>
    <row r="124" spans="2:2" x14ac:dyDescent="0.2">
      <c r="B124" s="3" t="str">
        <v>HbA1c (NGSP)</v>
      </c>
    </row>
    <row r="125" spans="2:2" x14ac:dyDescent="0.2">
      <c r="B125" s="3" t="str">
        <v>HDL Cholesterol</v>
      </c>
    </row>
    <row r="126" spans="2:2" x14ac:dyDescent="0.2">
      <c r="B126" s="3" t="str">
        <v>Holotranscobalamin</v>
      </c>
    </row>
    <row r="127" spans="2:2" x14ac:dyDescent="0.2">
      <c r="B127" s="3" t="str">
        <v>Homocysteine</v>
      </c>
    </row>
    <row r="128" spans="2:2" x14ac:dyDescent="0.2">
      <c r="B128" s="3" t="str">
        <v>Homovanillic Acid (Urine)</v>
      </c>
    </row>
    <row r="129" spans="2:2" x14ac:dyDescent="0.2">
      <c r="B129" s="3" t="str">
        <v>Human Chorionic Gonadotropin</v>
      </c>
    </row>
    <row r="130" spans="2:2" x14ac:dyDescent="0.2">
      <c r="B130" s="3" t="str">
        <v>Human Epididymal Protein 4</v>
      </c>
    </row>
    <row r="131" spans="2:2" x14ac:dyDescent="0.2">
      <c r="B131" s="3" t="str">
        <v>Hydroxyindole Acetic Acid</v>
      </c>
    </row>
    <row r="132" spans="2:2" x14ac:dyDescent="0.2">
      <c r="B132" s="3" t="str">
        <v>Hydroxyitraconazole</v>
      </c>
    </row>
    <row r="133" spans="2:2" x14ac:dyDescent="0.2">
      <c r="B133" s="3" t="str">
        <v>Hydroxymethyl mandelic acid (Urine)</v>
      </c>
    </row>
    <row r="134" spans="2:2" x14ac:dyDescent="0.2">
      <c r="B134" s="3" t="str">
        <v>IGF Binding Protein 3</v>
      </c>
    </row>
    <row r="135" spans="2:2" x14ac:dyDescent="0.2">
      <c r="B135" s="3" t="str">
        <v>IGF Binding Protein 3 (molar)</v>
      </c>
    </row>
    <row r="136" spans="2:2" x14ac:dyDescent="0.2">
      <c r="B136" s="3" t="str">
        <v>Immunoglobulin A</v>
      </c>
    </row>
    <row r="137" spans="2:2" x14ac:dyDescent="0.2">
      <c r="B137" s="3" t="str">
        <v>Immunoglobulin G</v>
      </c>
    </row>
    <row r="138" spans="2:2" x14ac:dyDescent="0.2">
      <c r="B138" s="3" t="str">
        <v>Immunoglobulin G (CSF)</v>
      </c>
    </row>
    <row r="139" spans="2:2" x14ac:dyDescent="0.2">
      <c r="B139" s="3" t="str">
        <v>Immunoglobulin M</v>
      </c>
    </row>
    <row r="140" spans="2:2" x14ac:dyDescent="0.2">
      <c r="B140" s="3" t="str">
        <v>Insulin</v>
      </c>
    </row>
    <row r="141" spans="2:2" x14ac:dyDescent="0.2">
      <c r="B141" s="3" t="str">
        <v>Insulin Like Growth Factor 1 (mass)</v>
      </c>
    </row>
    <row r="142" spans="2:2" x14ac:dyDescent="0.2">
      <c r="B142" s="3" t="str">
        <v>Insulin Like Growth Factor 1 (molar)</v>
      </c>
    </row>
    <row r="143" spans="2:2" x14ac:dyDescent="0.2">
      <c r="B143" s="3" t="str">
        <v>Iron</v>
      </c>
    </row>
    <row r="144" spans="2:2" x14ac:dyDescent="0.2">
      <c r="B144" s="3" t="str">
        <v>Itraconazole</v>
      </c>
    </row>
    <row r="145" spans="2:2" x14ac:dyDescent="0.2">
      <c r="B145" s="3" t="str">
        <v>Lactate</v>
      </c>
    </row>
    <row r="146" spans="2:2" x14ac:dyDescent="0.2">
      <c r="B146" s="3" t="str">
        <v>Lactate (Blood)</v>
      </c>
    </row>
    <row r="147" spans="2:2" x14ac:dyDescent="0.2">
      <c r="B147" s="3" t="str">
        <v>Lactate (CSF)</v>
      </c>
    </row>
    <row r="148" spans="2:2" x14ac:dyDescent="0.2">
      <c r="B148" s="3" t="str">
        <v>Lactate (Fluid)</v>
      </c>
    </row>
    <row r="149" spans="2:2" x14ac:dyDescent="0.2">
      <c r="B149" s="3" t="str">
        <v>Lactate Dehydrogenase</v>
      </c>
    </row>
    <row r="150" spans="2:2" x14ac:dyDescent="0.2">
      <c r="B150" s="3" t="str">
        <v>Lactate Dehydrogenase (Fluid)</v>
      </c>
    </row>
    <row r="151" spans="2:2" x14ac:dyDescent="0.2">
      <c r="B151" s="3" t="str">
        <v>LDL Cholesterol</v>
      </c>
    </row>
    <row r="152" spans="2:2" x14ac:dyDescent="0.2">
      <c r="B152" s="3" t="str">
        <v>Lipase</v>
      </c>
    </row>
    <row r="153" spans="2:2" x14ac:dyDescent="0.2">
      <c r="B153" s="3" t="str">
        <v>Lipase (Fluid)</v>
      </c>
    </row>
    <row r="154" spans="2:2" x14ac:dyDescent="0.2">
      <c r="B154" s="3" t="str">
        <v>Lipoprotein (a) (mass)</v>
      </c>
    </row>
    <row r="155" spans="2:2" x14ac:dyDescent="0.2">
      <c r="B155" s="3" t="str">
        <v>Lithium</v>
      </c>
    </row>
    <row r="156" spans="2:2" x14ac:dyDescent="0.2">
      <c r="B156" s="3" t="str">
        <v>Luteinising Hormone</v>
      </c>
    </row>
    <row r="157" spans="2:2" x14ac:dyDescent="0.2">
      <c r="B157" s="3" t="str">
        <v>Magnesium</v>
      </c>
    </row>
    <row r="158" spans="2:2" x14ac:dyDescent="0.2">
      <c r="B158" s="3" t="str">
        <v>Magnesium (Urine)</v>
      </c>
    </row>
    <row r="159" spans="2:2" x14ac:dyDescent="0.2">
      <c r="B159" s="3" t="str">
        <v>Metanephrine (Plasma)</v>
      </c>
    </row>
    <row r="160" spans="2:2" x14ac:dyDescent="0.2">
      <c r="B160" s="3" t="str">
        <v>Metanephrine (Urine)</v>
      </c>
    </row>
    <row r="161" spans="2:2" x14ac:dyDescent="0.2">
      <c r="B161" s="3" t="str">
        <v>Methadone Metabolite</v>
      </c>
    </row>
    <row r="162" spans="2:2" x14ac:dyDescent="0.2">
      <c r="B162" s="3" t="str">
        <v>Methaemoglobin (Blood)</v>
      </c>
    </row>
    <row r="163" spans="2:2" x14ac:dyDescent="0.2">
      <c r="B163" s="3" t="str">
        <v>Methotrexate</v>
      </c>
    </row>
    <row r="164" spans="2:2" x14ac:dyDescent="0.2">
      <c r="B164" s="3" t="str">
        <v>Methoxytyramine (Plasma)</v>
      </c>
    </row>
    <row r="165" spans="2:2" x14ac:dyDescent="0.2">
      <c r="B165" s="3" t="str">
        <v>Mycophenolate</v>
      </c>
    </row>
    <row r="166" spans="2:2" x14ac:dyDescent="0.2">
      <c r="B166" s="3" t="str">
        <v>N-telopeptide (Urine)</v>
      </c>
    </row>
    <row r="167" spans="2:2" x14ac:dyDescent="0.2">
      <c r="B167" s="3" t="str">
        <v>N-terminal proBNP</v>
      </c>
    </row>
    <row r="168" spans="2:2" x14ac:dyDescent="0.2">
      <c r="B168" s="3" t="str">
        <v>Neuron Specific Enolase</v>
      </c>
    </row>
    <row r="169" spans="2:2" x14ac:dyDescent="0.2">
      <c r="B169" s="3" t="str">
        <v>Noradrenaline (Urine)</v>
      </c>
    </row>
    <row r="170" spans="2:2" x14ac:dyDescent="0.2">
      <c r="B170" s="3" t="str">
        <v>Normetanephrine (Plasma)</v>
      </c>
    </row>
    <row r="171" spans="2:2" x14ac:dyDescent="0.2">
      <c r="B171" s="3" t="str">
        <v>Normetanephrine (Urine)</v>
      </c>
    </row>
    <row r="172" spans="2:2" x14ac:dyDescent="0.2">
      <c r="B172" s="3" t="str">
        <v>Nortriptyline</v>
      </c>
    </row>
    <row r="173" spans="2:2" x14ac:dyDescent="0.2">
      <c r="B173" s="3" t="str">
        <v>Oestradiol</v>
      </c>
    </row>
    <row r="174" spans="2:2" x14ac:dyDescent="0.2">
      <c r="B174" s="3" t="str">
        <v>Oestriol</v>
      </c>
    </row>
    <row r="175" spans="2:2" x14ac:dyDescent="0.2">
      <c r="B175" s="3" t="str">
        <v>Opiates (class) (Urine)</v>
      </c>
    </row>
    <row r="176" spans="2:2" x14ac:dyDescent="0.2">
      <c r="B176" s="3" t="str">
        <v>Osmolality</v>
      </c>
    </row>
    <row r="177" spans="2:2" x14ac:dyDescent="0.2">
      <c r="B177" s="3" t="str">
        <v>Osmolality (Fluid)</v>
      </c>
    </row>
    <row r="178" spans="2:2" x14ac:dyDescent="0.2">
      <c r="B178" s="3" t="str">
        <v>Osmolality (Urine)</v>
      </c>
    </row>
    <row r="179" spans="2:2" x14ac:dyDescent="0.2">
      <c r="B179" s="3" t="str">
        <v>Oxygen partial pressure (Blood)</v>
      </c>
    </row>
    <row r="180" spans="2:2" x14ac:dyDescent="0.2">
      <c r="B180" s="3" t="str">
        <v>Oxyhaemoglobin (Blood)</v>
      </c>
    </row>
    <row r="181" spans="2:2" x14ac:dyDescent="0.2">
      <c r="B181" s="3" t="str">
        <v>Paracetamol (mass)</v>
      </c>
    </row>
    <row r="182" spans="2:2" x14ac:dyDescent="0.2">
      <c r="B182" s="3" t="str">
        <v>Parathyroid Hormone (mass)</v>
      </c>
    </row>
    <row r="183" spans="2:2" x14ac:dyDescent="0.2">
      <c r="B183" s="3" t="str">
        <v>Parathyroid Hormone (molar)</v>
      </c>
    </row>
    <row r="184" spans="2:2" x14ac:dyDescent="0.2">
      <c r="B184" s="3" t="str">
        <v>pH (Blood)</v>
      </c>
    </row>
    <row r="185" spans="2:2" x14ac:dyDescent="0.2">
      <c r="B185" s="3" t="str">
        <v>pH (Fluid)</v>
      </c>
    </row>
    <row r="186" spans="2:2" x14ac:dyDescent="0.2">
      <c r="B186" s="3" t="str">
        <v>Phenobarbitone (mass)</v>
      </c>
    </row>
    <row r="187" spans="2:2" x14ac:dyDescent="0.2">
      <c r="B187" s="3" t="str">
        <v>Phenytoin (mass)</v>
      </c>
    </row>
    <row r="188" spans="2:2" x14ac:dyDescent="0.2">
      <c r="B188" s="3" t="str">
        <v>Phosphate</v>
      </c>
    </row>
    <row r="189" spans="2:2" x14ac:dyDescent="0.2">
      <c r="B189" s="3" t="str">
        <v>Phosphate (Urine)</v>
      </c>
    </row>
    <row r="190" spans="2:2" x14ac:dyDescent="0.2">
      <c r="B190" s="3" t="str">
        <v>Porphobilinogen (Urine)</v>
      </c>
    </row>
    <row r="191" spans="2:2" x14ac:dyDescent="0.2">
      <c r="B191" s="3" t="str">
        <v>Porphyrins (Blood)</v>
      </c>
    </row>
    <row r="192" spans="2:2" x14ac:dyDescent="0.2">
      <c r="B192" s="3" t="str">
        <v>Porphyrins (Faeces)</v>
      </c>
    </row>
    <row r="193" spans="2:2" x14ac:dyDescent="0.2">
      <c r="B193" s="3" t="str">
        <v>Porphyrins (Plasma)</v>
      </c>
    </row>
    <row r="194" spans="2:2" x14ac:dyDescent="0.2">
      <c r="B194" s="3" t="str">
        <v>Porphyrins (Urine)</v>
      </c>
    </row>
    <row r="195" spans="2:2" x14ac:dyDescent="0.2">
      <c r="B195" s="3" t="str">
        <v>Posaconazole</v>
      </c>
    </row>
    <row r="196" spans="2:2" x14ac:dyDescent="0.2">
      <c r="B196" s="3" t="str">
        <v>Potassium</v>
      </c>
    </row>
    <row r="197" spans="2:2" x14ac:dyDescent="0.2">
      <c r="B197" s="3" t="str">
        <v>Potassium (Blood)</v>
      </c>
    </row>
    <row r="198" spans="2:2" x14ac:dyDescent="0.2">
      <c r="B198" s="3" t="str">
        <v>Potassium (Fluid)</v>
      </c>
    </row>
    <row r="199" spans="2:2" x14ac:dyDescent="0.2">
      <c r="B199" s="3" t="str">
        <v>Potassium (Urine)</v>
      </c>
    </row>
    <row r="200" spans="2:2" x14ac:dyDescent="0.2">
      <c r="B200" s="3" t="str">
        <v>Prealbumin</v>
      </c>
    </row>
    <row r="201" spans="2:2" x14ac:dyDescent="0.2">
      <c r="B201" s="3" t="str">
        <v>Procalcitonin</v>
      </c>
    </row>
    <row r="202" spans="2:2" x14ac:dyDescent="0.2">
      <c r="B202" s="3" t="str">
        <v>Procollagen type 1 N-terminal propeptide</v>
      </c>
    </row>
    <row r="203" spans="2:2" x14ac:dyDescent="0.2">
      <c r="B203" s="3" t="str">
        <v>Progesterone</v>
      </c>
    </row>
    <row r="204" spans="2:2" x14ac:dyDescent="0.2">
      <c r="B204" s="3" t="str">
        <v>Prolactin</v>
      </c>
    </row>
    <row r="205" spans="2:2" x14ac:dyDescent="0.2">
      <c r="B205" s="3" t="str">
        <v>Prostate Specific Antigen</v>
      </c>
    </row>
    <row r="206" spans="2:2" x14ac:dyDescent="0.2">
      <c r="B206" s="3" t="str">
        <v>Prostate Specific Antigen (Free)</v>
      </c>
    </row>
    <row r="207" spans="2:2" x14ac:dyDescent="0.2">
      <c r="B207" s="3" t="str">
        <v>Protein</v>
      </c>
    </row>
    <row r="208" spans="2:2" x14ac:dyDescent="0.2">
      <c r="B208" s="3" t="str">
        <v>Protein (CSF)</v>
      </c>
    </row>
    <row r="209" spans="2:2" x14ac:dyDescent="0.2">
      <c r="B209" s="3" t="str">
        <v>Protein (Fluid)</v>
      </c>
    </row>
    <row r="210" spans="2:2" x14ac:dyDescent="0.2">
      <c r="B210" s="3" t="str">
        <v>Protein (Urine)</v>
      </c>
    </row>
    <row r="211" spans="2:2" x14ac:dyDescent="0.2">
      <c r="B211" s="3" t="str">
        <v>Prothrombin Time</v>
      </c>
    </row>
    <row r="212" spans="2:2" x14ac:dyDescent="0.2">
      <c r="B212" s="3" t="str">
        <v>Renin (conc)</v>
      </c>
    </row>
    <row r="213" spans="2:2" x14ac:dyDescent="0.2">
      <c r="B213" s="3" t="str">
        <v>Rheumatoid factor</v>
      </c>
    </row>
    <row r="214" spans="2:2" x14ac:dyDescent="0.2">
      <c r="B214" s="3" t="str">
        <v>Salicylate (mass)</v>
      </c>
    </row>
    <row r="215" spans="2:2" x14ac:dyDescent="0.2">
      <c r="B215" s="3" t="str">
        <v>Serotonin (Urine)</v>
      </c>
    </row>
    <row r="216" spans="2:2" x14ac:dyDescent="0.2">
      <c r="B216" s="3" t="str">
        <v>Sex Hormone Binding Globulin</v>
      </c>
    </row>
    <row r="217" spans="2:2" x14ac:dyDescent="0.2">
      <c r="B217" s="3" t="str">
        <v>Sirolimus (Blood)</v>
      </c>
    </row>
    <row r="218" spans="2:2" x14ac:dyDescent="0.2">
      <c r="B218" s="3" t="str">
        <v>Sodium</v>
      </c>
    </row>
    <row r="219" spans="2:2" x14ac:dyDescent="0.2">
      <c r="B219" s="3" t="str">
        <v>Sodium (Blood)</v>
      </c>
    </row>
    <row r="220" spans="2:2" x14ac:dyDescent="0.2">
      <c r="B220" s="3" t="str">
        <v>Sodium (Fluid)</v>
      </c>
    </row>
    <row r="221" spans="2:2" x14ac:dyDescent="0.2">
      <c r="B221" s="3" t="str">
        <v>Sodium (Sweat)</v>
      </c>
    </row>
    <row r="222" spans="2:2" x14ac:dyDescent="0.2">
      <c r="B222" s="3" t="str">
        <v>Sodium (Urine)</v>
      </c>
    </row>
    <row r="223" spans="2:2" x14ac:dyDescent="0.2">
      <c r="B223" s="3" t="str">
        <v>Soluble FMS Like Tyrosine Kinase 1</v>
      </c>
    </row>
    <row r="224" spans="2:2" x14ac:dyDescent="0.2">
      <c r="B224" s="3" t="str">
        <v>Tacrolimus (Blood)</v>
      </c>
    </row>
    <row r="225" spans="2:2" x14ac:dyDescent="0.2">
      <c r="B225" s="3" t="str">
        <v>Testosterone</v>
      </c>
    </row>
    <row r="226" spans="2:2" x14ac:dyDescent="0.2">
      <c r="B226" s="3" t="str">
        <v>Theophylline (mass)</v>
      </c>
    </row>
    <row r="227" spans="2:2" x14ac:dyDescent="0.2">
      <c r="B227" s="3" t="str">
        <v>Thrombin Time (Plasma)</v>
      </c>
    </row>
    <row r="228" spans="2:2" x14ac:dyDescent="0.2">
      <c r="B228" s="3" t="str">
        <v>Thyroglobulin</v>
      </c>
    </row>
    <row r="229" spans="2:2" x14ac:dyDescent="0.2">
      <c r="B229" s="3" t="str">
        <v>Thyroid Stimulating Hormone</v>
      </c>
    </row>
    <row r="230" spans="2:2" x14ac:dyDescent="0.2">
      <c r="B230" s="3" t="str">
        <v>Thyrotropin Receptor Antibodies</v>
      </c>
    </row>
    <row r="231" spans="2:2" x14ac:dyDescent="0.2">
      <c r="B231" s="3" t="str">
        <v>Thyroxine (free)</v>
      </c>
    </row>
    <row r="232" spans="2:2" x14ac:dyDescent="0.2">
      <c r="B232" s="3" t="str">
        <v>Thyroxine (total)</v>
      </c>
    </row>
    <row r="233" spans="2:2" x14ac:dyDescent="0.2">
      <c r="B233" s="3" t="str">
        <v>Tobramycin</v>
      </c>
    </row>
    <row r="234" spans="2:2" x14ac:dyDescent="0.2">
      <c r="B234" s="3" t="str">
        <v>Total Iron Binding Capacity</v>
      </c>
    </row>
    <row r="235" spans="2:2" x14ac:dyDescent="0.2">
      <c r="B235" s="3" t="str">
        <v>Transferrin</v>
      </c>
    </row>
    <row r="236" spans="2:2" x14ac:dyDescent="0.2">
      <c r="B236" s="3" t="str">
        <v>Triglycerides</v>
      </c>
    </row>
    <row r="237" spans="2:2" x14ac:dyDescent="0.2">
      <c r="B237" s="3" t="str">
        <v>Triglycerides (Fluid)</v>
      </c>
    </row>
    <row r="238" spans="2:2" x14ac:dyDescent="0.2">
      <c r="B238" s="3" t="str">
        <v>Triiodothyronine (free)</v>
      </c>
    </row>
    <row r="239" spans="2:2" x14ac:dyDescent="0.2">
      <c r="B239" s="3" t="str">
        <v>Triiodothyronine (total)</v>
      </c>
    </row>
    <row r="240" spans="2:2" x14ac:dyDescent="0.2">
      <c r="B240" s="3" t="str">
        <v>Troponin I (hs)</v>
      </c>
    </row>
    <row r="241" spans="2:2" x14ac:dyDescent="0.2">
      <c r="B241" s="3" t="str">
        <v>Troponin I (POCT)</v>
      </c>
    </row>
    <row r="242" spans="2:2" x14ac:dyDescent="0.2">
      <c r="B242" s="3" t="str">
        <v>Troponin T (hs)</v>
      </c>
    </row>
    <row r="243" spans="2:2" x14ac:dyDescent="0.2">
      <c r="B243" s="3" t="str">
        <v>Troponin T (POCT)</v>
      </c>
    </row>
    <row r="244" spans="2:2" x14ac:dyDescent="0.2">
      <c r="B244" s="3" t="str">
        <v>Urate (Fluid)</v>
      </c>
    </row>
    <row r="245" spans="2:2" x14ac:dyDescent="0.2">
      <c r="B245" s="3" t="str">
        <v>Urate (mmol/L)</v>
      </c>
    </row>
    <row r="246" spans="2:2" x14ac:dyDescent="0.2">
      <c r="B246" s="3" t="str">
        <v>Urate (umol/L)</v>
      </c>
    </row>
    <row r="247" spans="2:2" x14ac:dyDescent="0.2">
      <c r="B247" s="3" t="str">
        <v>Urate (Urine)</v>
      </c>
    </row>
    <row r="248" spans="2:2" x14ac:dyDescent="0.2">
      <c r="B248" s="3" t="str">
        <v>Urea</v>
      </c>
    </row>
    <row r="249" spans="2:2" x14ac:dyDescent="0.2">
      <c r="B249" s="3" t="str">
        <v>Urea (Fluid)</v>
      </c>
    </row>
    <row r="250" spans="2:2" x14ac:dyDescent="0.2">
      <c r="B250" s="3" t="str">
        <v>Urea (Urine)</v>
      </c>
    </row>
    <row r="251" spans="2:2" x14ac:dyDescent="0.2">
      <c r="B251" s="3" t="str">
        <v>Valproate (mass)</v>
      </c>
    </row>
    <row r="252" spans="2:2" x14ac:dyDescent="0.2">
      <c r="B252" s="3" t="str">
        <v>Vancomycin</v>
      </c>
    </row>
    <row r="253" spans="2:2" x14ac:dyDescent="0.2">
      <c r="B253" s="3" t="str">
        <v>Vitamin A (Serum)</v>
      </c>
    </row>
    <row r="254" spans="2:2" x14ac:dyDescent="0.2">
      <c r="B254" s="3" t="str">
        <v>Vitamin B1 (Plasma)</v>
      </c>
    </row>
    <row r="255" spans="2:2" x14ac:dyDescent="0.2">
      <c r="B255" s="3" t="str">
        <v>Vitamin B12</v>
      </c>
    </row>
    <row r="256" spans="2:2" x14ac:dyDescent="0.2">
      <c r="B256" s="3" t="str">
        <v>Vitamin B2</v>
      </c>
    </row>
    <row r="257" spans="2:2" x14ac:dyDescent="0.2">
      <c r="B257" s="3" t="str">
        <v>Vitamin B6 (Blood)</v>
      </c>
    </row>
    <row r="258" spans="2:2" x14ac:dyDescent="0.2">
      <c r="B258" s="3" t="str">
        <v>Vitamin B6 (Plasma)</v>
      </c>
    </row>
    <row r="259" spans="2:2" x14ac:dyDescent="0.2">
      <c r="B259" s="3" t="str">
        <v>Vitamin C</v>
      </c>
    </row>
    <row r="260" spans="2:2" x14ac:dyDescent="0.2">
      <c r="B260" s="3" t="str">
        <v>Vitamin D (25-hydroxy)</v>
      </c>
    </row>
    <row r="261" spans="2:2" x14ac:dyDescent="0.2">
      <c r="B261" s="3" t="str">
        <v>Voriconazole</v>
      </c>
    </row>
    <row r="262" spans="2:2" x14ac:dyDescent="0.2">
      <c r="B262" s="3" t="str">
        <v>Xanthochromia - Bilirubin</v>
      </c>
    </row>
    <row r="263" spans="2:2" x14ac:dyDescent="0.2">
      <c r="B263" s="3" t="str">
        <v>Xanthochromia - Haemoglobin</v>
      </c>
    </row>
    <row r="264" spans="2:2" x14ac:dyDescent="0.2">
      <c r="B264" s="3" t="str">
        <v>Zinc</v>
      </c>
    </row>
  </sheetData>
  <pageMargins left="0.7" right="0.7" top="0.75" bottom="0.75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A1A9-6F3E-41A3-812E-5345FF0A073B}">
  <dimension ref="A1:C23"/>
  <sheetViews>
    <sheetView workbookViewId="0">
      <selection activeCell="C26" sqref="C26"/>
    </sheetView>
  </sheetViews>
  <sheetFormatPr defaultRowHeight="15" x14ac:dyDescent="0.25"/>
  <cols>
    <col min="1" max="1" width="26" bestFit="1" customWidth="1"/>
    <col min="2" max="2" width="14.140625" bestFit="1" customWidth="1"/>
    <col min="3" max="3" width="72" bestFit="1" customWidth="1"/>
  </cols>
  <sheetData>
    <row r="1" spans="1:3" x14ac:dyDescent="0.25">
      <c r="A1" t="s">
        <v>44</v>
      </c>
      <c r="B1" t="s">
        <v>43</v>
      </c>
      <c r="C1" t="s">
        <v>42</v>
      </c>
    </row>
    <row r="2" spans="1:3" x14ac:dyDescent="0.25">
      <c r="A2" t="s">
        <v>614</v>
      </c>
      <c r="B2" t="b">
        <v>1</v>
      </c>
      <c r="C2" t="s">
        <v>615</v>
      </c>
    </row>
    <row r="3" spans="1:3" x14ac:dyDescent="0.25">
      <c r="A3" t="s">
        <v>41</v>
      </c>
      <c r="B3" s="1" t="s">
        <v>40</v>
      </c>
      <c r="C3" t="s">
        <v>616</v>
      </c>
    </row>
    <row r="4" spans="1:3" x14ac:dyDescent="0.25">
      <c r="A4" t="s">
        <v>39</v>
      </c>
      <c r="B4" s="1" t="s">
        <v>38</v>
      </c>
      <c r="C4" t="s">
        <v>617</v>
      </c>
    </row>
    <row r="5" spans="1:3" x14ac:dyDescent="0.25">
      <c r="A5" t="s">
        <v>37</v>
      </c>
      <c r="B5" s="1" t="s">
        <v>36</v>
      </c>
      <c r="C5" t="s">
        <v>35</v>
      </c>
    </row>
    <row r="6" spans="1:3" x14ac:dyDescent="0.25">
      <c r="A6" t="s">
        <v>34</v>
      </c>
      <c r="B6" s="1" t="s">
        <v>33</v>
      </c>
      <c r="C6" t="s">
        <v>32</v>
      </c>
    </row>
    <row r="7" spans="1:3" x14ac:dyDescent="0.25">
      <c r="A7" t="s">
        <v>31</v>
      </c>
      <c r="B7" s="1" t="s">
        <v>30</v>
      </c>
      <c r="C7" t="s">
        <v>29</v>
      </c>
    </row>
    <row r="8" spans="1:3" x14ac:dyDescent="0.25">
      <c r="A8" t="s">
        <v>28</v>
      </c>
      <c r="B8" s="1" t="s">
        <v>27</v>
      </c>
      <c r="C8" t="s">
        <v>26</v>
      </c>
    </row>
    <row r="9" spans="1:3" x14ac:dyDescent="0.25">
      <c r="A9" t="s">
        <v>25</v>
      </c>
      <c r="B9" s="1" t="s">
        <v>24</v>
      </c>
      <c r="C9" t="s">
        <v>23</v>
      </c>
    </row>
    <row r="10" spans="1:3" x14ac:dyDescent="0.25">
      <c r="A10" t="s">
        <v>22</v>
      </c>
      <c r="B10" s="1" t="b">
        <v>0</v>
      </c>
      <c r="C10" t="s">
        <v>21</v>
      </c>
    </row>
    <row r="11" spans="1:3" x14ac:dyDescent="0.25">
      <c r="A11" t="s">
        <v>20</v>
      </c>
      <c r="B11" s="2">
        <v>1</v>
      </c>
      <c r="C11" t="s">
        <v>19</v>
      </c>
    </row>
    <row r="12" spans="1:3" x14ac:dyDescent="0.25">
      <c r="A12" t="s">
        <v>18</v>
      </c>
      <c r="B12" s="1" t="s">
        <v>17</v>
      </c>
      <c r="C12" t="s">
        <v>16</v>
      </c>
    </row>
    <row r="13" spans="1:3" x14ac:dyDescent="0.25">
      <c r="A13" t="s">
        <v>15</v>
      </c>
      <c r="B13" s="1" t="s">
        <v>14</v>
      </c>
      <c r="C13" t="s">
        <v>13</v>
      </c>
    </row>
    <row r="14" spans="1:3" x14ac:dyDescent="0.25">
      <c r="A14" t="s">
        <v>12</v>
      </c>
      <c r="B14" s="1" t="b">
        <v>1</v>
      </c>
      <c r="C14" t="s">
        <v>11</v>
      </c>
    </row>
    <row r="15" spans="1:3" x14ac:dyDescent="0.25">
      <c r="A15" t="s">
        <v>10</v>
      </c>
      <c r="B15" s="1" t="s">
        <v>9</v>
      </c>
      <c r="C15" t="s">
        <v>8</v>
      </c>
    </row>
    <row r="16" spans="1:3" x14ac:dyDescent="0.25">
      <c r="A16" t="s">
        <v>7</v>
      </c>
      <c r="B16" s="1" t="s">
        <v>629</v>
      </c>
      <c r="C16" t="s">
        <v>6</v>
      </c>
    </row>
    <row r="17" spans="1:3" x14ac:dyDescent="0.25">
      <c r="A17" t="s">
        <v>5</v>
      </c>
      <c r="B17" s="1" t="s">
        <v>630</v>
      </c>
      <c r="C17" t="s">
        <v>4</v>
      </c>
    </row>
    <row r="18" spans="1:3" x14ac:dyDescent="0.25">
      <c r="A18" t="s">
        <v>3</v>
      </c>
      <c r="B18" s="1" t="s">
        <v>631</v>
      </c>
      <c r="C18" t="s">
        <v>2</v>
      </c>
    </row>
    <row r="19" spans="1:3" x14ac:dyDescent="0.25">
      <c r="A19" t="s">
        <v>1</v>
      </c>
      <c r="B19" s="1" t="s">
        <v>628</v>
      </c>
      <c r="C19" t="s">
        <v>0</v>
      </c>
    </row>
    <row r="20" spans="1:3" x14ac:dyDescent="0.25">
      <c r="A20" t="s">
        <v>618</v>
      </c>
      <c r="B20" t="s">
        <v>619</v>
      </c>
      <c r="C20" t="s">
        <v>620</v>
      </c>
    </row>
    <row r="21" spans="1:3" x14ac:dyDescent="0.25">
      <c r="A21" t="s">
        <v>660</v>
      </c>
      <c r="B21" t="s">
        <v>665</v>
      </c>
      <c r="C21" t="s">
        <v>663</v>
      </c>
    </row>
    <row r="22" spans="1:3" x14ac:dyDescent="0.25">
      <c r="A22" t="s">
        <v>661</v>
      </c>
      <c r="B22" t="s">
        <v>666</v>
      </c>
      <c r="C22" t="s">
        <v>664</v>
      </c>
    </row>
    <row r="23" spans="1:3" x14ac:dyDescent="0.25">
      <c r="A23" t="s">
        <v>662</v>
      </c>
      <c r="B23" t="s">
        <v>619</v>
      </c>
      <c r="C23" t="s">
        <v>620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8D9783-C649-4CFE-A0D3-28379FE627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Example</vt:lpstr>
      <vt:lpstr>APS</vt:lpstr>
      <vt:lpstr>Tables</vt:lpstr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Chesher</dc:creator>
  <cp:lastModifiedBy>Doug Chesher</cp:lastModifiedBy>
  <dcterms:created xsi:type="dcterms:W3CDTF">2025-09-15T01:38:11Z</dcterms:created>
  <dcterms:modified xsi:type="dcterms:W3CDTF">2026-10-05T04:17:20Z</dcterms:modified>
</cp:coreProperties>
</file>